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universityofwieauclaire-my.sharepoint.com/personal/nan1209_uwec_edu/Documents/MSSQL/Assignment5/"/>
    </mc:Choice>
  </mc:AlternateContent>
  <xr:revisionPtr revIDLastSave="332" documentId="13_ncr:1_{B5A7635B-B876-4DE2-BFF3-8CA518277CF0}" xr6:coauthVersionLast="47" xr6:coauthVersionMax="47" xr10:uidLastSave="{C1F9D7F3-2464-4E23-B9D6-245AB5FCB68D}"/>
  <bookViews>
    <workbookView xWindow="-120" yWindow="-120" windowWidth="21840" windowHeight="11100" firstSheet="3" activeTab="6" xr2:uid="{00000000-000D-0000-FFFF-FFFF00000000}"/>
  </bookViews>
  <sheets>
    <sheet name="Documentation" sheetId="12" r:id="rId1"/>
    <sheet name="Sales Report" sheetId="14" r:id="rId2"/>
    <sheet name="Customer Calendar" sheetId="21" r:id="rId3"/>
    <sheet name="Rain Table" sheetId="22" r:id="rId4"/>
    <sheet name="Temperature Table" sheetId="23" r:id="rId5"/>
    <sheet name="Regression Analysis" sheetId="24" r:id="rId6"/>
    <sheet name="Datasets" sheetId="13" r:id="rId7"/>
  </sheets>
  <definedNames>
    <definedName name="Slicer_City">#N/A</definedName>
  </definedNames>
  <calcPr calcId="191029"/>
  <pivotCaches>
    <pivotCache cacheId="60" r:id="rId8"/>
    <pivotCache cacheId="63" r:id="rId9"/>
    <pivotCache cacheId="66"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AN1209 tblCompanySales_29adf03b-2ea9-41e5-b756-d24caa625390" name="NAN1209 tblCompanySales" connection="Query - NAN1209 tblCompanySales"/>
          <x15:modelTable id="NAN1209 tblCompanyStores_2744bb14-f24e-4afc-a7c7-9f7dc8a57184" name="NAN1209 tblCompanyStores" connection="Query - NAN1209 tblCompanyStores"/>
        </x15:modelTables>
        <x15:modelRelationships>
          <x15:modelRelationship fromTable="NAN1209 tblCompanySales" fromColumn="StoreID" toTable="NAN1209 tblCompanyStores" toColumn="Stor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3" l="1"/>
  <c r="F3" i="23"/>
  <c r="G5" i="23"/>
  <c r="G6" i="23"/>
  <c r="G7" i="23"/>
  <c r="G8" i="23"/>
  <c r="G9"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15" i="23"/>
  <c r="G116" i="23"/>
  <c r="G117" i="23"/>
  <c r="G118" i="23"/>
  <c r="G119" i="23"/>
  <c r="G120" i="23"/>
  <c r="G121" i="23"/>
  <c r="G122" i="23"/>
  <c r="G123" i="23"/>
  <c r="G124" i="23"/>
  <c r="G125" i="23"/>
  <c r="G126" i="23"/>
  <c r="G127" i="23"/>
  <c r="G128" i="23"/>
  <c r="G129" i="23"/>
  <c r="G130" i="23"/>
  <c r="G131" i="23"/>
  <c r="G132" i="23"/>
  <c r="G133" i="23"/>
  <c r="G134" i="23"/>
  <c r="G135" i="23"/>
  <c r="G136" i="23"/>
  <c r="G137" i="23"/>
  <c r="G138" i="23"/>
  <c r="G139" i="23"/>
  <c r="G140" i="23"/>
  <c r="G141" i="23"/>
  <c r="G142" i="23"/>
  <c r="G143" i="23"/>
  <c r="G144" i="23"/>
  <c r="G145" i="23"/>
  <c r="G146" i="23"/>
  <c r="G147" i="23"/>
  <c r="G148" i="23"/>
  <c r="G149" i="23"/>
  <c r="G150" i="23"/>
  <c r="G151" i="23"/>
  <c r="G152" i="23"/>
  <c r="G153" i="23"/>
  <c r="G154" i="23"/>
  <c r="G155" i="23"/>
  <c r="G156" i="23"/>
  <c r="G157" i="23"/>
  <c r="G158" i="23"/>
  <c r="G159" i="23"/>
  <c r="G160" i="23"/>
  <c r="G161" i="23"/>
  <c r="G162" i="23"/>
  <c r="G163" i="23"/>
  <c r="G164" i="23"/>
  <c r="G165" i="23"/>
  <c r="G166" i="23"/>
  <c r="G167" i="23"/>
  <c r="G168" i="23"/>
  <c r="G169" i="23"/>
  <c r="G170" i="23"/>
  <c r="G171" i="23"/>
  <c r="G172" i="23"/>
  <c r="G173" i="23"/>
  <c r="G174" i="23"/>
  <c r="G175" i="23"/>
  <c r="G176" i="23"/>
  <c r="G177" i="23"/>
  <c r="G178" i="23"/>
  <c r="G179" i="23"/>
  <c r="G180" i="23"/>
  <c r="G181" i="23"/>
  <c r="G182" i="23"/>
  <c r="G183" i="23"/>
  <c r="G184" i="23"/>
  <c r="G185" i="23"/>
  <c r="G186" i="23"/>
  <c r="G187" i="23"/>
  <c r="G188" i="23"/>
  <c r="G189" i="23"/>
  <c r="G190" i="23"/>
  <c r="G191" i="23"/>
  <c r="G192" i="23"/>
  <c r="G193" i="23"/>
  <c r="G194" i="23"/>
  <c r="G195" i="23"/>
  <c r="G196" i="23"/>
  <c r="G197" i="23"/>
  <c r="G198" i="23"/>
  <c r="G199" i="23"/>
  <c r="G200" i="23"/>
  <c r="G201" i="23"/>
  <c r="G202" i="23"/>
  <c r="G203" i="23"/>
  <c r="G204" i="23"/>
  <c r="G205" i="23"/>
  <c r="G206" i="23"/>
  <c r="G207" i="23"/>
  <c r="G208" i="23"/>
  <c r="G209" i="23"/>
  <c r="G210" i="23"/>
  <c r="G211" i="23"/>
  <c r="G212" i="23"/>
  <c r="G213" i="23"/>
  <c r="G214" i="23"/>
  <c r="G215" i="23"/>
  <c r="G216" i="23"/>
  <c r="G217" i="23"/>
  <c r="G218" i="23"/>
  <c r="G219" i="23"/>
  <c r="G220" i="23"/>
  <c r="G221" i="23"/>
  <c r="G222" i="23"/>
  <c r="G223" i="23"/>
  <c r="G224" i="23"/>
  <c r="G225" i="23"/>
  <c r="G226" i="23"/>
  <c r="G227" i="23"/>
  <c r="G228" i="23"/>
  <c r="G229" i="23"/>
  <c r="G230" i="23"/>
  <c r="G231" i="23"/>
  <c r="G232" i="23"/>
  <c r="G233" i="23"/>
  <c r="G234" i="23"/>
  <c r="G235" i="23"/>
  <c r="G236" i="23"/>
  <c r="G237" i="23"/>
  <c r="G238" i="23"/>
  <c r="G239" i="23"/>
  <c r="G240" i="23"/>
  <c r="G241" i="23"/>
  <c r="G242" i="23"/>
  <c r="G243" i="23"/>
  <c r="G244" i="23"/>
  <c r="G245" i="23"/>
  <c r="G246" i="23"/>
  <c r="G247" i="23"/>
  <c r="G248" i="23"/>
  <c r="G249" i="23"/>
  <c r="G250" i="23"/>
  <c r="G251" i="23"/>
  <c r="G252" i="23"/>
  <c r="G253" i="23"/>
  <c r="G254" i="23"/>
  <c r="G255" i="23"/>
  <c r="G256" i="23"/>
  <c r="G257" i="23"/>
  <c r="G258" i="23"/>
  <c r="G259" i="23"/>
  <c r="G260" i="23"/>
  <c r="G261" i="23"/>
  <c r="G262" i="23"/>
  <c r="G263" i="23"/>
  <c r="G264" i="23"/>
  <c r="G4"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95" i="23"/>
  <c r="F96" i="23"/>
  <c r="F97" i="23"/>
  <c r="F98" i="23"/>
  <c r="F99" i="23"/>
  <c r="F100" i="23"/>
  <c r="F101" i="23"/>
  <c r="F102" i="23"/>
  <c r="F103" i="23"/>
  <c r="F104" i="23"/>
  <c r="F105" i="23"/>
  <c r="F106" i="23"/>
  <c r="F107" i="23"/>
  <c r="F108" i="23"/>
  <c r="F109" i="23"/>
  <c r="F110" i="23"/>
  <c r="F111" i="23"/>
  <c r="F112" i="23"/>
  <c r="F113" i="23"/>
  <c r="F114" i="23"/>
  <c r="F115" i="23"/>
  <c r="F116" i="23"/>
  <c r="F117" i="23"/>
  <c r="F118" i="23"/>
  <c r="F119" i="23"/>
  <c r="F120" i="23"/>
  <c r="F121" i="23"/>
  <c r="F122" i="23"/>
  <c r="F123" i="23"/>
  <c r="F124" i="23"/>
  <c r="F125" i="23"/>
  <c r="F126" i="23"/>
  <c r="F127" i="23"/>
  <c r="F128" i="23"/>
  <c r="F129" i="23"/>
  <c r="F130" i="23"/>
  <c r="F131" i="23"/>
  <c r="F132" i="23"/>
  <c r="F133" i="23"/>
  <c r="F134" i="23"/>
  <c r="F135" i="23"/>
  <c r="F136" i="23"/>
  <c r="F137" i="23"/>
  <c r="F138" i="23"/>
  <c r="F139" i="23"/>
  <c r="F140" i="23"/>
  <c r="F141" i="23"/>
  <c r="F142" i="23"/>
  <c r="F143" i="23"/>
  <c r="F144" i="23"/>
  <c r="F145" i="23"/>
  <c r="F146" i="23"/>
  <c r="F147" i="23"/>
  <c r="F148" i="23"/>
  <c r="F149" i="23"/>
  <c r="F150" i="23"/>
  <c r="F151" i="23"/>
  <c r="F152" i="23"/>
  <c r="F153" i="23"/>
  <c r="F154" i="23"/>
  <c r="F155" i="23"/>
  <c r="F156" i="23"/>
  <c r="F157" i="23"/>
  <c r="F158" i="23"/>
  <c r="F159" i="23"/>
  <c r="F160" i="23"/>
  <c r="F161" i="23"/>
  <c r="F162" i="23"/>
  <c r="F163" i="23"/>
  <c r="F164" i="23"/>
  <c r="F165" i="23"/>
  <c r="F166" i="23"/>
  <c r="F167" i="23"/>
  <c r="F168" i="23"/>
  <c r="F169" i="23"/>
  <c r="F170" i="23"/>
  <c r="F171" i="23"/>
  <c r="F172" i="23"/>
  <c r="F173" i="23"/>
  <c r="F174" i="23"/>
  <c r="F175" i="23"/>
  <c r="F176" i="23"/>
  <c r="F177" i="23"/>
  <c r="F178" i="23"/>
  <c r="F179" i="23"/>
  <c r="F180" i="23"/>
  <c r="F181" i="23"/>
  <c r="F182" i="23"/>
  <c r="F183" i="23"/>
  <c r="F184" i="23"/>
  <c r="F185" i="23"/>
  <c r="F186" i="23"/>
  <c r="F187" i="23"/>
  <c r="F188" i="23"/>
  <c r="F189" i="23"/>
  <c r="F190" i="23"/>
  <c r="F191" i="23"/>
  <c r="F192" i="23"/>
  <c r="F193" i="23"/>
  <c r="F194" i="23"/>
  <c r="F195" i="23"/>
  <c r="F196" i="23"/>
  <c r="F197" i="23"/>
  <c r="F198" i="23"/>
  <c r="F199" i="23"/>
  <c r="F200" i="23"/>
  <c r="F201" i="23"/>
  <c r="F202" i="23"/>
  <c r="F203" i="23"/>
  <c r="F204" i="23"/>
  <c r="F205" i="23"/>
  <c r="F206" i="23"/>
  <c r="F207" i="23"/>
  <c r="F208" i="23"/>
  <c r="F209" i="23"/>
  <c r="F210" i="23"/>
  <c r="F211" i="23"/>
  <c r="F212" i="23"/>
  <c r="F213" i="23"/>
  <c r="F214" i="23"/>
  <c r="F215" i="23"/>
  <c r="F216" i="23"/>
  <c r="F217" i="23"/>
  <c r="F218" i="23"/>
  <c r="F219" i="23"/>
  <c r="F220" i="23"/>
  <c r="F221" i="23"/>
  <c r="F222" i="23"/>
  <c r="F223" i="23"/>
  <c r="F224" i="23"/>
  <c r="F225" i="23"/>
  <c r="F226" i="23"/>
  <c r="F227" i="23"/>
  <c r="F228" i="23"/>
  <c r="F229" i="23"/>
  <c r="F230" i="23"/>
  <c r="F231" i="23"/>
  <c r="F232" i="23"/>
  <c r="F233" i="23"/>
  <c r="F234" i="23"/>
  <c r="F235" i="23"/>
  <c r="F236" i="23"/>
  <c r="F237" i="23"/>
  <c r="F238" i="23"/>
  <c r="F239" i="23"/>
  <c r="F240" i="23"/>
  <c r="F241" i="23"/>
  <c r="F242" i="23"/>
  <c r="F243" i="23"/>
  <c r="F244" i="23"/>
  <c r="F245" i="23"/>
  <c r="F246" i="23"/>
  <c r="F247" i="23"/>
  <c r="F248" i="23"/>
  <c r="F249" i="23"/>
  <c r="F250" i="23"/>
  <c r="F251" i="23"/>
  <c r="F252" i="23"/>
  <c r="F253" i="23"/>
  <c r="F254" i="23"/>
  <c r="F255" i="23"/>
  <c r="F256" i="23"/>
  <c r="F257" i="23"/>
  <c r="F258" i="23"/>
  <c r="F259" i="23"/>
  <c r="F260" i="23"/>
  <c r="F261" i="23"/>
  <c r="F262" i="23"/>
  <c r="F263" i="23"/>
  <c r="F264" i="23"/>
  <c r="F4"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34575-8757-4D49-A233-50E3949FD5E0}" name="Query - NAN1209 tblCompanySales" description="Connection to the 'NAN1209 tblCompanySales' query in the workbook." type="100" refreshedVersion="8" minRefreshableVersion="5">
    <extLst>
      <ext xmlns:x15="http://schemas.microsoft.com/office/spreadsheetml/2010/11/main" uri="{DE250136-89BD-433C-8126-D09CA5730AF9}">
        <x15:connection id="19ccf8a8-b1b8-4579-94e5-7557eb07bd9f"/>
      </ext>
    </extLst>
  </connection>
  <connection id="2" xr16:uid="{F2B34705-670B-4E93-B8A8-A03E74E63C0D}" name="Query - NAN1209 tblCompanyStores" description="Connection to the 'NAN1209 tblCompanyStores' query in the workbook." type="100" refreshedVersion="8" minRefreshableVersion="5">
    <extLst>
      <ext xmlns:x15="http://schemas.microsoft.com/office/spreadsheetml/2010/11/main" uri="{DE250136-89BD-433C-8126-D09CA5730AF9}">
        <x15:connection id="33d8df46-24b4-4286-82d1-25a8c118b1c0"/>
      </ext>
    </extLst>
  </connection>
  <connection id="3" xr16:uid="{AC9666AF-100D-4D32-94C9-C3C32C6F15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<sst xmlns="http://schemas.openxmlformats.org/spreadsheetml/2006/main" count="117" uniqueCount="86">
  <si>
    <t>Author</t>
  </si>
  <si>
    <t>Date</t>
  </si>
  <si>
    <t>Purpose</t>
  </si>
  <si>
    <t>Year</t>
  </si>
  <si>
    <t>Notes</t>
  </si>
  <si>
    <t>Field</t>
  </si>
  <si>
    <t>Data Type</t>
  </si>
  <si>
    <t>integer</t>
  </si>
  <si>
    <t>text</t>
  </si>
  <si>
    <t>City</t>
  </si>
  <si>
    <t>State</t>
  </si>
  <si>
    <t>Postal Code</t>
  </si>
  <si>
    <t>Store ID</t>
  </si>
  <si>
    <t>Store ID number</t>
  </si>
  <si>
    <t>Stores Table</t>
  </si>
  <si>
    <t>Address</t>
  </si>
  <si>
    <t>Datasets</t>
  </si>
  <si>
    <t>Umai Frozen Yogurt</t>
  </si>
  <si>
    <t>Customer Calendar PivotTable</t>
  </si>
  <si>
    <t>Sales Report</t>
  </si>
  <si>
    <t>Rainy Day Data</t>
  </si>
  <si>
    <t>Temperature Data</t>
  </si>
  <si>
    <t>Month</t>
  </si>
  <si>
    <t>Customers</t>
  </si>
  <si>
    <t>Support_EX_10_Yogurt.accdb</t>
  </si>
  <si>
    <t>Sales Table</t>
  </si>
  <si>
    <t>Date of sales data</t>
  </si>
  <si>
    <t>Year of sales data</t>
  </si>
  <si>
    <t>Month of sales data</t>
  </si>
  <si>
    <t>Weekday</t>
  </si>
  <si>
    <t>Weekday of sales data</t>
  </si>
  <si>
    <t>High Temp</t>
  </si>
  <si>
    <t>High temperature recorded on that data and location</t>
  </si>
  <si>
    <t>Rainy</t>
  </si>
  <si>
    <t>Indication of whether the day and location experienced intense rainfall</t>
  </si>
  <si>
    <t>Total number of customers served on that day and location</t>
  </si>
  <si>
    <t>Street address of the store</t>
  </si>
  <si>
    <t>City location of the store</t>
  </si>
  <si>
    <t>County</t>
  </si>
  <si>
    <t>County location of the store</t>
  </si>
  <si>
    <t>State location of the store</t>
  </si>
  <si>
    <t>Postal code of the store</t>
  </si>
  <si>
    <t>To analyze sales data from 20 Umai Frozen Yogurt stores in California</t>
  </si>
  <si>
    <t>Regression Analysis</t>
  </si>
  <si>
    <t>Temp</t>
  </si>
  <si>
    <t>Avg Customer</t>
  </si>
  <si>
    <t>Questions</t>
  </si>
  <si>
    <t>Answers</t>
  </si>
  <si>
    <t>1.Is Model Significant? What is the justification?</t>
  </si>
  <si>
    <t>2.What is the equation?</t>
  </si>
  <si>
    <t>3.Is the impact of temperature on average number of customers significant? What is the justication?</t>
  </si>
  <si>
    <t>4.How does temperature impact average number of customers? Interpret the coefficient.</t>
  </si>
  <si>
    <t>Nuri Na</t>
  </si>
  <si>
    <t>Row Labels</t>
  </si>
  <si>
    <t>Grand Total</t>
  </si>
  <si>
    <t>Average of Customers</t>
  </si>
  <si>
    <t>Heavy Rainfall</t>
  </si>
  <si>
    <t>Normal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</si>
  <si>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</si>
  <si>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</si>
  <si>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</si>
  <si>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</si>
  <si>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</si>
  <si>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</si>
  <si>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</si>
  <si>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</si>
  <si>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</si>
  <si>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</si>
  <si>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</si>
  <si>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</si>
  <si>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</si>
  <si>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</si>
  <si>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</si>
  <si>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</si>
  <si>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</si>
  <si>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</si>
  <si>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</si>
  <si>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</si>
  <si>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</si>
  <si>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</si>
  <si>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</si>
  <si>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</si>
  <si>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The significance F is 9.1113E-124, which is less than 0.05. This means that the overall regression model is statistically significant at the 95% confidence level.</t>
  </si>
  <si>
    <t>Avg Customer = 5.76*Temp - 216.39</t>
  </si>
  <si>
    <t>The coefficient for Temp is 5.76, which means, for every 1 F increases in temp, the average number of customers increase by approximately 5.76.</t>
  </si>
  <si>
    <t>Yes, the impact is significant. P-value for Temp = 9E-124, which is below 0.05. This indicates that temparature is a significant predictor of customer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</si>
</sst>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sz val="11"/>
      <color theme="0"/>
      <name val="Calibri"/>
      <family val="2"/>
      <scheme val="minor"/>
    </font>
    <font>
      <b/>
      <sz val="11"/>
      <color theme="9" tint="-0.499984740745262"/>
      <name val="Calibri"/>
      <family val="2"/>
      <scheme val="minor"/>
    </font>
    <font>
      <i/>
      <sz val="11"/>
      <color theme="9" tint="-0.499984740745262"/>
      <name val="Calibri"/>
      <family val="2"/>
      <scheme val="minor"/>
    </font>
    <font>
      <sz val="11"/>
      <color theme="4" tint="-0.249977111117893"/>
      <name val="Calibri"/>
      <family val="2"/>
      <scheme val="minor"/>
    </font>
    <font>
      <sz val="28"/>
      <color theme="4"/>
      <name val="Rockwell Extra Bold"/>
      <family val="1"/>
    </font>
    <font>
      <sz val="14"/>
      <color theme="4" tint="-0.249977111117893"/>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theme="4"/>
      </patternFill>
    </fill>
    <fill>
      <patternFill patternType="solid">
        <fgColor theme="4" tint="-0.249977111117893"/>
        <bgColor indexed="64"/>
      </patternFill>
    </fill>
    <fill>
      <patternFill patternType="solid">
        <fgColor theme="4" tint="0.79998168889431442"/>
        <bgColor indexed="65"/>
      </patternFill>
    </fill>
    <fill>
      <patternFill patternType="solid">
        <fgColor rgb="FFFFFF00"/>
        <bgColor indexed="64"/>
      </patternFill>
    </fill>
  </fills>
  <borders count="5">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2" borderId="0" applyNumberFormat="0" applyBorder="0" applyAlignment="0" applyProtection="0"/>
    <xf numFmtId="0" fontId="1" fillId="4" borderId="0" applyNumberFormat="0" applyBorder="0" applyAlignment="0" applyProtection="0"/>
  </cellStyleXfs>
  <cellXfs count="25">
    <xf numFmtId="0" fontId="0" fillId="0" borderId="0" xfId="0"/>
    <xf numFmtId="0" fontId="0" fillId="0" borderId="2" xfId="0" applyBorder="1" applyAlignment="1">
      <alignment horizontal="left" vertical="top" wrapText="1"/>
    </xf>
    <xf numFmtId="0" fontId="5" fillId="0" borderId="0" xfId="2" applyFont="1" applyFill="1" applyBorder="1" applyAlignment="1">
      <alignment horizontal="left" vertical="top"/>
    </xf>
    <xf numFmtId="0" fontId="0" fillId="0" borderId="2" xfId="0" applyBorder="1" applyAlignment="1">
      <alignment horizontal="center" vertical="top" wrapText="1"/>
    </xf>
    <xf numFmtId="0" fontId="6" fillId="0" borderId="0" xfId="0" applyFont="1"/>
    <xf numFmtId="0" fontId="4" fillId="3" borderId="2" xfId="3" applyFill="1" applyBorder="1" applyAlignment="1">
      <alignment horizontal="left" vertical="top"/>
    </xf>
    <xf numFmtId="0" fontId="7" fillId="0" borderId="2" xfId="0" applyFont="1" applyBorder="1" applyAlignment="1">
      <alignment horizontal="left" vertical="top" wrapText="1"/>
    </xf>
    <xf numFmtId="14" fontId="7" fillId="0" borderId="2" xfId="0" applyNumberFormat="1" applyFont="1" applyBorder="1" applyAlignment="1">
      <alignment horizontal="left" vertical="top" wrapText="1"/>
    </xf>
    <xf numFmtId="0" fontId="8" fillId="0" borderId="0" xfId="1" applyFont="1"/>
    <xf numFmtId="0" fontId="9" fillId="0" borderId="0" xfId="0" applyFont="1"/>
    <xf numFmtId="0" fontId="4" fillId="2" borderId="2" xfId="3" applyBorder="1" applyAlignment="1">
      <alignment horizontal="left" vertical="top" wrapText="1"/>
    </xf>
    <xf numFmtId="0" fontId="1" fillId="4" borderId="2" xfId="4" applyBorder="1" applyAlignment="1">
      <alignment horizontal="left" vertical="top" wrapText="1"/>
    </xf>
    <xf numFmtId="0" fontId="0" fillId="0" borderId="0" xfId="0" applyAlignment="1">
      <alignment horizontal="center"/>
    </xf>
    <xf numFmtId="2" fontId="0" fillId="0" borderId="0" xfId="0" applyNumberFormat="1" applyAlignment="1">
      <alignment horizontal="center"/>
    </xf>
    <xf numFmtId="0" fontId="11" fillId="0" borderId="0" xfId="0" applyFont="1"/>
    <xf numFmtId="0" fontId="10" fillId="0" borderId="0" xfId="0" applyFont="1" applyAlignment="1">
      <alignment wrapText="1"/>
    </xf>
    <xf numFmtId="0" fontId="0" fillId="0" borderId="0" xfId="0" pivotButton="1"/>
    <xf numFmtId="0" fontId="0" fillId="0" borderId="0" xfId="0" applyAlignment="1">
      <alignment horizontal="left"/>
    </xf>
    <xf numFmtId="1" fontId="0" fillId="0" borderId="0" xfId="0" applyNumberFormat="1"/>
    <xf numFmtId="0" fontId="0" fillId="0" borderId="3" xfId="0" applyBorder="1"/>
    <xf numFmtId="0" fontId="12" fillId="0" borderId="4" xfId="0" applyFont="1" applyBorder="1" applyAlignment="1">
      <alignment horizontal="center"/>
    </xf>
    <xf numFmtId="0" fontId="12" fillId="0" borderId="4" xfId="0" applyFont="1" applyBorder="1" applyAlignment="1">
      <alignment horizontal="centerContinuous"/>
    </xf>
    <xf numFmtId="0" fontId="0" fillId="5" borderId="0" xfId="0" applyFill="1"/>
    <xf numFmtId="0" fontId="0" fillId="5" borderId="3" xfId="0" applyFill="1" applyBorder="1"/>
    <xf numFmtId="0" fontId="0" fillId="0" borderId="0" xfId="0" applyAlignment="1">
      <alignment wrapText="1"/>
    </xf>
  </cellXfs>
  <cellStyles count="5">
    <cellStyle name="20% - Accent1" xfId="4" builtinId="30"/>
    <cellStyle name="Accent1" xfId="3" builtinId="29"/>
    <cellStyle name="Heading 3" xfId="2" builtinId="18"/>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[NuriNa.xlsx]Customer Calendar!Customer Calendar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Customers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Calendar'!$C$4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Calendar'!$B$5:$B$8</c:f>
              <c:strCache>
                <c:ptCount val="3"/>
                <c:pt idx="0">
                  <c:v>2019</c:v>
                </c:pt>
                <c:pt idx="1">
                  <c:v>2020</c:v>
                </c:pt>
                <c:pt idx="2">
                  <c:v>2021</c:v>
                </c:pt>
              </c:strCache>
            </c:strRef>
          </c:cat>
          <c:val>
            <c:numRef>
              <c:f>'Customer Calendar'!$C$5:$C$8</c:f>
              <c:numCache>
                <c:formatCode>0</c:formatCode>
                <c:ptCount val="3"/>
                <c:pt idx="0">
                  <c:v>208.93424657534246</c:v>
                </c:pt>
                <c:pt idx="1">
                  <c:v>218.70491803278688</c:v>
                </c:pt>
                <c:pt idx="2">
                  <c:v>230.57808219178082</c:v>
                </c:pt>
              </c:numCache>
            </c:numRef>
          </c:val>
          <c:smooth val="0"/>
          <c:extLst>
            <c:ext xmlns:c16="http://schemas.microsoft.com/office/drawing/2014/chart" uri="{C3380CC4-5D6E-409C-BE32-E72D297353CC}">
              <c16:uniqueId val="{00000000-628D-4CA7-9011-142C73E77BC0}"/>
            </c:ext>
          </c:extLst>
        </c:ser>
        <c:dLbls>
          <c:dLblPos val="t"/>
          <c:showLegendKey val="0"/>
          <c:showVal val="1"/>
          <c:showCatName val="0"/>
          <c:showSerName val="0"/>
          <c:showPercent val="0"/>
          <c:showBubbleSize val="0"/>
        </c:dLbls>
        <c:smooth val="0"/>
        <c:axId val="1748497328"/>
        <c:axId val="1748497808"/>
      </c:lineChart>
      <c:catAx>
        <c:axId val="17484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7808"/>
        <c:crosses val="autoZero"/>
        <c:auto val="1"/>
        <c:lblAlgn val="ctr"/>
        <c:lblOffset val="100"/>
        <c:noMultiLvlLbl val="0"/>
      </c:catAx>
      <c:valAx>
        <c:axId val="1748497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[NuriNa.xlsx]Rain Table!Rain Table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Average Customers per Day during Rainfall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'Rain Table'!$C$3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 Table'!$B$4:$B$6</c:f>
              <c:strCache>
                <c:ptCount val="2"/>
                <c:pt idx="0">
                  <c:v>Heavy Rainfall</c:v>
                </c:pt>
                <c:pt idx="1">
                  <c:v>Normal</c:v>
                </c:pt>
              </c:strCache>
            </c:strRef>
          </c:cat>
          <c:val>
            <c:numRef>
              <c:f>'Rain Table'!$C$4:$C$6</c:f>
              <c:numCache>
                <c:formatCode>0</c:formatCode>
                <c:ptCount val="2"/>
                <c:pt idx="0">
                  <c:v>146.26277372262774</c:v>
                </c:pt>
                <c:pt idx="1">
                  <c:v>229.85401459854015</c:v>
                </c:pt>
              </c:numCache>
            </c:numRef>
          </c:val>
          <c:extLst>
            <c:ext xmlns:c16="http://schemas.microsoft.com/office/drawing/2014/chart" uri="{C3380CC4-5D6E-409C-BE32-E72D297353CC}">
              <c16:uniqueId val="{00000000-8D6C-4DF6-B66D-F54D51A68A38}"/>
            </c:ext>
          </c:extLst>
        </c:ser>
        <c:dLbls>
          <c:dLblPos val="outEnd"/>
          <c:showLegendKey val="0"/>
          <c:showVal val="1"/>
          <c:showCatName val="0"/>
          <c:showSerName val="0"/>
          <c:showPercent val="0"/>
          <c:showBubbleSize val="0"/>
        </c:dLbls>
        <c:gapWidth val="219"/>
        <c:overlap val="-27"/>
        <c:axId val="645619344"/>
        <c:axId val="645619824"/>
      </c:barChart>
      <c:catAx>
        <c:axId val="64561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619824"/>
        <c:crosses val="autoZero"/>
        <c:auto val="1"/>
        <c:lblAlgn val="ctr"/>
        <c:lblOffset val="100"/>
        <c:noMultiLvlLbl val="0"/>
      </c:catAx>
      <c:valAx>
        <c:axId val="645619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61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'Temperature Table'!$G$3</c:f>
              <c:strCache>
                <c:ptCount val="1"/>
                <c:pt idx="0">
                  <c:v>Average of Customers</c:v>
                </c:pt>
              </c:strCache>
            </c:strRef>
          </c:tx>
          <c:spPr>
            <a:ln w="38100" cap="rnd">
              <a:noFill/>
              <a:round/>
            </a:ln>
            <a:effectLst/>
          </c:spPr>
          <c:marker>
            <c:symbol val="circle"/>
            <c:size val="5"/>
            <c:spPr>
              <a:solidFill>
                <a:schemeClr val="accent1"/>
              </a:solidFill>
              <a:ln w="9525">
                <a:solidFill>
                  <a:schemeClr val="accent1"/>
                </a:solidFill>
              </a:ln>
              <a:effectLst/>
            </c:spPr>
          </c:marker>
          <c:xVal>
            <c:numRef>
              <c:f>'Temperature Table'!$F$4:$F$264</c:f>
              <c:numCache>
                <c:formatCode>General</c:formatCode>
                <c:ptCount val="261"/>
                <c:pt idx="0">
                  <c:v>54.1</c:v>
                </c:pt>
                <c:pt idx="1">
                  <c:v>55.7</c:v>
                </c:pt>
                <c:pt idx="2">
                  <c:v>55.9</c:v>
                </c:pt>
                <c:pt idx="3">
                  <c:v>56.7</c:v>
                </c:pt>
                <c:pt idx="4">
                  <c:v>57.1</c:v>
                </c:pt>
                <c:pt idx="5">
                  <c:v>57.2</c:v>
                </c:pt>
                <c:pt idx="6">
                  <c:v>57.3</c:v>
                </c:pt>
                <c:pt idx="7">
                  <c:v>57.4</c:v>
                </c:pt>
                <c:pt idx="8">
                  <c:v>57.5</c:v>
                </c:pt>
                <c:pt idx="9">
                  <c:v>58</c:v>
                </c:pt>
                <c:pt idx="10">
                  <c:v>58.2</c:v>
                </c:pt>
                <c:pt idx="11">
                  <c:v>58.7</c:v>
                </c:pt>
                <c:pt idx="12">
                  <c:v>58.8</c:v>
                </c:pt>
                <c:pt idx="13">
                  <c:v>59</c:v>
                </c:pt>
                <c:pt idx="14">
                  <c:v>59.2</c:v>
                </c:pt>
                <c:pt idx="15">
                  <c:v>59.4</c:v>
                </c:pt>
                <c:pt idx="16">
                  <c:v>59.5</c:v>
                </c:pt>
                <c:pt idx="17">
                  <c:v>59.6</c:v>
                </c:pt>
                <c:pt idx="18">
                  <c:v>59.9</c:v>
                </c:pt>
                <c:pt idx="19">
                  <c:v>60</c:v>
                </c:pt>
                <c:pt idx="20">
                  <c:v>60.2</c:v>
                </c:pt>
                <c:pt idx="21">
                  <c:v>60.3</c:v>
                </c:pt>
                <c:pt idx="22">
                  <c:v>60.6</c:v>
                </c:pt>
                <c:pt idx="23">
                  <c:v>61</c:v>
                </c:pt>
                <c:pt idx="24">
                  <c:v>61.4</c:v>
                </c:pt>
                <c:pt idx="25">
                  <c:v>61.9</c:v>
                </c:pt>
                <c:pt idx="26">
                  <c:v>62</c:v>
                </c:pt>
                <c:pt idx="27">
                  <c:v>62.1</c:v>
                </c:pt>
                <c:pt idx="28">
                  <c:v>62.2</c:v>
                </c:pt>
                <c:pt idx="29">
                  <c:v>62.4</c:v>
                </c:pt>
                <c:pt idx="30">
                  <c:v>62.5</c:v>
                </c:pt>
                <c:pt idx="31">
                  <c:v>62.6</c:v>
                </c:pt>
                <c:pt idx="32">
                  <c:v>62.7</c:v>
                </c:pt>
                <c:pt idx="33">
                  <c:v>62.8</c:v>
                </c:pt>
                <c:pt idx="34">
                  <c:v>62.9</c:v>
                </c:pt>
                <c:pt idx="35">
                  <c:v>63</c:v>
                </c:pt>
                <c:pt idx="36">
                  <c:v>63.1</c:v>
                </c:pt>
                <c:pt idx="37">
                  <c:v>63.2</c:v>
                </c:pt>
                <c:pt idx="38">
                  <c:v>63.3</c:v>
                </c:pt>
                <c:pt idx="39">
                  <c:v>63.4</c:v>
                </c:pt>
                <c:pt idx="40">
                  <c:v>63.5</c:v>
                </c:pt>
                <c:pt idx="41">
                  <c:v>63.6</c:v>
                </c:pt>
                <c:pt idx="42">
                  <c:v>63.7</c:v>
                </c:pt>
                <c:pt idx="43">
                  <c:v>63.9</c:v>
                </c:pt>
                <c:pt idx="44">
                  <c:v>64</c:v>
                </c:pt>
                <c:pt idx="45">
                  <c:v>64.099999999999994</c:v>
                </c:pt>
                <c:pt idx="46">
                  <c:v>64.2</c:v>
                </c:pt>
                <c:pt idx="47">
                  <c:v>64.3</c:v>
                </c:pt>
                <c:pt idx="48">
                  <c:v>64.400000000000006</c:v>
                </c:pt>
                <c:pt idx="49">
                  <c:v>64.5</c:v>
                </c:pt>
                <c:pt idx="50">
                  <c:v>64.599999999999994</c:v>
                </c:pt>
                <c:pt idx="51">
                  <c:v>64.7</c:v>
                </c:pt>
                <c:pt idx="52">
                  <c:v>64.8</c:v>
                </c:pt>
                <c:pt idx="53">
                  <c:v>64.900000000000006</c:v>
                </c:pt>
                <c:pt idx="54">
                  <c:v>65</c:v>
                </c:pt>
                <c:pt idx="55">
                  <c:v>65.099999999999994</c:v>
                </c:pt>
                <c:pt idx="56">
                  <c:v>65.3</c:v>
                </c:pt>
                <c:pt idx="57">
                  <c:v>65.400000000000006</c:v>
                </c:pt>
                <c:pt idx="58">
                  <c:v>65.5</c:v>
                </c:pt>
                <c:pt idx="59">
                  <c:v>65.599999999999994</c:v>
                </c:pt>
                <c:pt idx="60">
                  <c:v>65.7</c:v>
                </c:pt>
                <c:pt idx="61">
                  <c:v>65.8</c:v>
                </c:pt>
                <c:pt idx="62">
                  <c:v>65.900000000000006</c:v>
                </c:pt>
                <c:pt idx="63">
                  <c:v>66</c:v>
                </c:pt>
                <c:pt idx="64">
                  <c:v>66.099999999999994</c:v>
                </c:pt>
                <c:pt idx="65">
                  <c:v>66.2</c:v>
                </c:pt>
                <c:pt idx="66">
                  <c:v>66.3</c:v>
                </c:pt>
                <c:pt idx="67">
                  <c:v>66.400000000000006</c:v>
                </c:pt>
                <c:pt idx="68">
                  <c:v>66.5</c:v>
                </c:pt>
                <c:pt idx="69">
                  <c:v>66.599999999999994</c:v>
                </c:pt>
                <c:pt idx="70">
                  <c:v>66.7</c:v>
                </c:pt>
                <c:pt idx="71">
                  <c:v>66.8</c:v>
                </c:pt>
                <c:pt idx="72">
                  <c:v>66.900000000000006</c:v>
                </c:pt>
                <c:pt idx="73">
                  <c:v>67</c:v>
                </c:pt>
                <c:pt idx="74">
                  <c:v>67.099999999999994</c:v>
                </c:pt>
                <c:pt idx="75">
                  <c:v>67.2</c:v>
                </c:pt>
                <c:pt idx="76">
                  <c:v>67.3</c:v>
                </c:pt>
                <c:pt idx="77">
                  <c:v>67.400000000000006</c:v>
                </c:pt>
                <c:pt idx="78">
                  <c:v>67.5</c:v>
                </c:pt>
                <c:pt idx="79">
                  <c:v>67.599999999999994</c:v>
                </c:pt>
                <c:pt idx="80">
                  <c:v>67.7</c:v>
                </c:pt>
                <c:pt idx="81">
                  <c:v>67.8</c:v>
                </c:pt>
                <c:pt idx="82">
                  <c:v>67.900000000000006</c:v>
                </c:pt>
                <c:pt idx="83">
                  <c:v>68</c:v>
                </c:pt>
                <c:pt idx="84">
                  <c:v>68.099999999999994</c:v>
                </c:pt>
                <c:pt idx="85">
                  <c:v>68.2</c:v>
                </c:pt>
                <c:pt idx="86">
                  <c:v>68.3</c:v>
                </c:pt>
                <c:pt idx="87">
                  <c:v>68.400000000000006</c:v>
                </c:pt>
                <c:pt idx="88">
                  <c:v>68.5</c:v>
                </c:pt>
                <c:pt idx="89">
                  <c:v>68.599999999999994</c:v>
                </c:pt>
                <c:pt idx="90">
                  <c:v>68.7</c:v>
                </c:pt>
                <c:pt idx="91">
                  <c:v>68.8</c:v>
                </c:pt>
                <c:pt idx="92">
                  <c:v>68.900000000000006</c:v>
                </c:pt>
                <c:pt idx="93">
                  <c:v>69</c:v>
                </c:pt>
                <c:pt idx="94">
                  <c:v>69.099999999999994</c:v>
                </c:pt>
                <c:pt idx="95">
                  <c:v>69.2</c:v>
                </c:pt>
                <c:pt idx="96">
                  <c:v>69.3</c:v>
                </c:pt>
                <c:pt idx="97">
                  <c:v>69.400000000000006</c:v>
                </c:pt>
                <c:pt idx="98">
                  <c:v>69.5</c:v>
                </c:pt>
                <c:pt idx="99">
                  <c:v>69.599999999999994</c:v>
                </c:pt>
                <c:pt idx="100">
                  <c:v>69.7</c:v>
                </c:pt>
                <c:pt idx="101">
                  <c:v>69.8</c:v>
                </c:pt>
                <c:pt idx="102">
                  <c:v>69.900000000000006</c:v>
                </c:pt>
                <c:pt idx="103">
                  <c:v>70</c:v>
                </c:pt>
                <c:pt idx="104">
                  <c:v>70.099999999999994</c:v>
                </c:pt>
                <c:pt idx="105">
                  <c:v>70.2</c:v>
                </c:pt>
                <c:pt idx="106">
                  <c:v>70.3</c:v>
                </c:pt>
                <c:pt idx="107">
                  <c:v>70.400000000000006</c:v>
                </c:pt>
                <c:pt idx="108">
                  <c:v>70.5</c:v>
                </c:pt>
                <c:pt idx="109">
                  <c:v>70.599999999999994</c:v>
                </c:pt>
                <c:pt idx="110">
                  <c:v>70.7</c:v>
                </c:pt>
                <c:pt idx="111">
                  <c:v>70.8</c:v>
                </c:pt>
                <c:pt idx="112">
                  <c:v>70.900000000000006</c:v>
                </c:pt>
                <c:pt idx="113">
                  <c:v>71.099999999999994</c:v>
                </c:pt>
                <c:pt idx="114">
                  <c:v>71.2</c:v>
                </c:pt>
                <c:pt idx="115">
                  <c:v>71.3</c:v>
                </c:pt>
                <c:pt idx="116">
                  <c:v>71.400000000000006</c:v>
                </c:pt>
                <c:pt idx="117">
                  <c:v>71.5</c:v>
                </c:pt>
                <c:pt idx="118">
                  <c:v>71.599999999999994</c:v>
                </c:pt>
                <c:pt idx="119">
                  <c:v>71.7</c:v>
                </c:pt>
                <c:pt idx="120">
                  <c:v>71.8</c:v>
                </c:pt>
                <c:pt idx="121">
                  <c:v>71.900000000000006</c:v>
                </c:pt>
                <c:pt idx="122">
                  <c:v>72</c:v>
                </c:pt>
                <c:pt idx="123">
                  <c:v>72.099999999999994</c:v>
                </c:pt>
                <c:pt idx="124">
                  <c:v>72.2</c:v>
                </c:pt>
                <c:pt idx="125">
                  <c:v>72.3</c:v>
                </c:pt>
                <c:pt idx="126">
                  <c:v>72.400000000000006</c:v>
                </c:pt>
                <c:pt idx="127">
                  <c:v>72.5</c:v>
                </c:pt>
                <c:pt idx="128">
                  <c:v>72.599999999999994</c:v>
                </c:pt>
                <c:pt idx="129">
                  <c:v>72.7</c:v>
                </c:pt>
                <c:pt idx="130">
                  <c:v>72.8</c:v>
                </c:pt>
                <c:pt idx="131">
                  <c:v>72.900000000000006</c:v>
                </c:pt>
                <c:pt idx="132">
                  <c:v>73</c:v>
                </c:pt>
                <c:pt idx="133">
                  <c:v>73.099999999999994</c:v>
                </c:pt>
                <c:pt idx="134">
                  <c:v>73.2</c:v>
                </c:pt>
                <c:pt idx="135">
                  <c:v>73.3</c:v>
                </c:pt>
                <c:pt idx="136">
                  <c:v>73.400000000000006</c:v>
                </c:pt>
                <c:pt idx="137">
                  <c:v>73.5</c:v>
                </c:pt>
                <c:pt idx="138">
                  <c:v>73.7</c:v>
                </c:pt>
                <c:pt idx="139">
                  <c:v>73.8</c:v>
                </c:pt>
                <c:pt idx="140">
                  <c:v>73.900000000000006</c:v>
                </c:pt>
                <c:pt idx="141">
                  <c:v>74</c:v>
                </c:pt>
                <c:pt idx="142">
                  <c:v>74.099999999999994</c:v>
                </c:pt>
                <c:pt idx="143">
                  <c:v>74.2</c:v>
                </c:pt>
                <c:pt idx="144">
                  <c:v>74.3</c:v>
                </c:pt>
                <c:pt idx="145">
                  <c:v>74.400000000000006</c:v>
                </c:pt>
                <c:pt idx="146">
                  <c:v>74.5</c:v>
                </c:pt>
                <c:pt idx="147">
                  <c:v>74.599999999999994</c:v>
                </c:pt>
                <c:pt idx="148">
                  <c:v>74.7</c:v>
                </c:pt>
                <c:pt idx="149">
                  <c:v>74.8</c:v>
                </c:pt>
                <c:pt idx="150">
                  <c:v>74.900000000000006</c:v>
                </c:pt>
                <c:pt idx="151">
                  <c:v>75</c:v>
                </c:pt>
                <c:pt idx="152">
                  <c:v>75.099999999999994</c:v>
                </c:pt>
                <c:pt idx="153">
                  <c:v>75.2</c:v>
                </c:pt>
                <c:pt idx="154">
                  <c:v>75.3</c:v>
                </c:pt>
                <c:pt idx="155">
                  <c:v>75.400000000000006</c:v>
                </c:pt>
                <c:pt idx="156">
                  <c:v>75.5</c:v>
                </c:pt>
                <c:pt idx="157">
                  <c:v>75.599999999999994</c:v>
                </c:pt>
                <c:pt idx="158">
                  <c:v>75.7</c:v>
                </c:pt>
                <c:pt idx="159">
                  <c:v>75.8</c:v>
                </c:pt>
                <c:pt idx="160">
                  <c:v>75.900000000000006</c:v>
                </c:pt>
                <c:pt idx="161">
                  <c:v>76</c:v>
                </c:pt>
                <c:pt idx="162">
                  <c:v>76.099999999999994</c:v>
                </c:pt>
                <c:pt idx="163">
                  <c:v>76.2</c:v>
                </c:pt>
                <c:pt idx="164">
                  <c:v>76.3</c:v>
                </c:pt>
                <c:pt idx="165">
                  <c:v>76.400000000000006</c:v>
                </c:pt>
                <c:pt idx="166">
                  <c:v>76.5</c:v>
                </c:pt>
                <c:pt idx="167">
                  <c:v>76.599999999999994</c:v>
                </c:pt>
                <c:pt idx="168">
                  <c:v>76.7</c:v>
                </c:pt>
                <c:pt idx="169">
                  <c:v>76.8</c:v>
                </c:pt>
                <c:pt idx="170">
                  <c:v>76.900000000000006</c:v>
                </c:pt>
                <c:pt idx="171">
                  <c:v>77</c:v>
                </c:pt>
                <c:pt idx="172">
                  <c:v>77.099999999999994</c:v>
                </c:pt>
                <c:pt idx="173">
                  <c:v>77.2</c:v>
                </c:pt>
                <c:pt idx="174">
                  <c:v>77.3</c:v>
                </c:pt>
                <c:pt idx="175">
                  <c:v>77.400000000000006</c:v>
                </c:pt>
                <c:pt idx="176">
                  <c:v>77.5</c:v>
                </c:pt>
                <c:pt idx="177">
                  <c:v>77.7</c:v>
                </c:pt>
                <c:pt idx="178">
                  <c:v>77.8</c:v>
                </c:pt>
                <c:pt idx="179">
                  <c:v>77.900000000000006</c:v>
                </c:pt>
                <c:pt idx="180">
                  <c:v>78</c:v>
                </c:pt>
                <c:pt idx="181">
                  <c:v>78.099999999999994</c:v>
                </c:pt>
                <c:pt idx="182">
                  <c:v>78.2</c:v>
                </c:pt>
                <c:pt idx="183">
                  <c:v>78.3</c:v>
                </c:pt>
                <c:pt idx="184">
                  <c:v>78.5</c:v>
                </c:pt>
                <c:pt idx="185">
                  <c:v>78.599999999999994</c:v>
                </c:pt>
                <c:pt idx="186">
                  <c:v>78.7</c:v>
                </c:pt>
                <c:pt idx="187">
                  <c:v>78.8</c:v>
                </c:pt>
                <c:pt idx="188">
                  <c:v>78.900000000000006</c:v>
                </c:pt>
                <c:pt idx="189">
                  <c:v>79.099999999999994</c:v>
                </c:pt>
                <c:pt idx="190">
                  <c:v>79.2</c:v>
                </c:pt>
                <c:pt idx="191">
                  <c:v>79.3</c:v>
                </c:pt>
                <c:pt idx="192">
                  <c:v>79.400000000000006</c:v>
                </c:pt>
                <c:pt idx="193">
                  <c:v>79.5</c:v>
                </c:pt>
                <c:pt idx="194">
                  <c:v>79.599999999999994</c:v>
                </c:pt>
                <c:pt idx="195">
                  <c:v>79.7</c:v>
                </c:pt>
                <c:pt idx="196">
                  <c:v>79.8</c:v>
                </c:pt>
                <c:pt idx="197">
                  <c:v>79.900000000000006</c:v>
                </c:pt>
                <c:pt idx="198">
                  <c:v>80</c:v>
                </c:pt>
                <c:pt idx="199">
                  <c:v>80.099999999999994</c:v>
                </c:pt>
                <c:pt idx="200">
                  <c:v>80.2</c:v>
                </c:pt>
                <c:pt idx="201">
                  <c:v>80.3</c:v>
                </c:pt>
                <c:pt idx="202">
                  <c:v>80.400000000000006</c:v>
                </c:pt>
                <c:pt idx="203">
                  <c:v>80.5</c:v>
                </c:pt>
                <c:pt idx="204">
                  <c:v>80.599999999999994</c:v>
                </c:pt>
                <c:pt idx="205">
                  <c:v>80.7</c:v>
                </c:pt>
                <c:pt idx="206">
                  <c:v>80.8</c:v>
                </c:pt>
                <c:pt idx="207">
                  <c:v>80.900000000000006</c:v>
                </c:pt>
                <c:pt idx="208">
                  <c:v>81</c:v>
                </c:pt>
                <c:pt idx="209">
                  <c:v>81.099999999999994</c:v>
                </c:pt>
                <c:pt idx="210">
                  <c:v>81.2</c:v>
                </c:pt>
                <c:pt idx="211">
                  <c:v>81.3</c:v>
                </c:pt>
                <c:pt idx="212">
                  <c:v>81.400000000000006</c:v>
                </c:pt>
                <c:pt idx="213">
                  <c:v>81.5</c:v>
                </c:pt>
                <c:pt idx="214">
                  <c:v>81.599999999999994</c:v>
                </c:pt>
                <c:pt idx="215">
                  <c:v>81.7</c:v>
                </c:pt>
                <c:pt idx="216">
                  <c:v>81.8</c:v>
                </c:pt>
                <c:pt idx="217">
                  <c:v>81.900000000000006</c:v>
                </c:pt>
                <c:pt idx="218">
                  <c:v>82</c:v>
                </c:pt>
                <c:pt idx="219">
                  <c:v>82.1</c:v>
                </c:pt>
                <c:pt idx="220">
                  <c:v>82.2</c:v>
                </c:pt>
                <c:pt idx="221">
                  <c:v>82.3</c:v>
                </c:pt>
                <c:pt idx="222">
                  <c:v>82.5</c:v>
                </c:pt>
                <c:pt idx="223">
                  <c:v>82.8</c:v>
                </c:pt>
                <c:pt idx="224">
                  <c:v>82.9</c:v>
                </c:pt>
                <c:pt idx="225">
                  <c:v>83</c:v>
                </c:pt>
                <c:pt idx="226">
                  <c:v>83.1</c:v>
                </c:pt>
                <c:pt idx="227">
                  <c:v>83.2</c:v>
                </c:pt>
                <c:pt idx="228">
                  <c:v>83.3</c:v>
                </c:pt>
                <c:pt idx="229">
                  <c:v>83.4</c:v>
                </c:pt>
                <c:pt idx="230">
                  <c:v>83.5</c:v>
                </c:pt>
                <c:pt idx="231">
                  <c:v>83.6</c:v>
                </c:pt>
                <c:pt idx="232">
                  <c:v>83.7</c:v>
                </c:pt>
                <c:pt idx="233">
                  <c:v>83.8</c:v>
                </c:pt>
                <c:pt idx="234">
                  <c:v>83.9</c:v>
                </c:pt>
                <c:pt idx="235">
                  <c:v>84</c:v>
                </c:pt>
                <c:pt idx="236">
                  <c:v>84.1</c:v>
                </c:pt>
                <c:pt idx="237">
                  <c:v>84.2</c:v>
                </c:pt>
                <c:pt idx="238">
                  <c:v>84.3</c:v>
                </c:pt>
                <c:pt idx="239">
                  <c:v>84.4</c:v>
                </c:pt>
                <c:pt idx="240">
                  <c:v>84.5</c:v>
                </c:pt>
                <c:pt idx="241">
                  <c:v>84.6</c:v>
                </c:pt>
                <c:pt idx="242">
                  <c:v>84.8</c:v>
                </c:pt>
                <c:pt idx="243">
                  <c:v>84.9</c:v>
                </c:pt>
                <c:pt idx="244">
                  <c:v>85</c:v>
                </c:pt>
                <c:pt idx="245">
                  <c:v>85.1</c:v>
                </c:pt>
                <c:pt idx="246">
                  <c:v>85.2</c:v>
                </c:pt>
                <c:pt idx="247">
                  <c:v>85.3</c:v>
                </c:pt>
                <c:pt idx="248">
                  <c:v>85.4</c:v>
                </c:pt>
                <c:pt idx="249">
                  <c:v>85.5</c:v>
                </c:pt>
                <c:pt idx="250">
                  <c:v>85.6</c:v>
                </c:pt>
                <c:pt idx="251">
                  <c:v>85.7</c:v>
                </c:pt>
                <c:pt idx="252">
                  <c:v>85.9</c:v>
                </c:pt>
                <c:pt idx="253">
                  <c:v>86</c:v>
                </c:pt>
                <c:pt idx="254">
                  <c:v>86.1</c:v>
                </c:pt>
                <c:pt idx="255">
                  <c:v>86.2</c:v>
                </c:pt>
                <c:pt idx="256">
                  <c:v>86.3</c:v>
                </c:pt>
                <c:pt idx="257">
                  <c:v>86.4</c:v>
                </c:pt>
                <c:pt idx="258">
                  <c:v>86.5</c:v>
                </c:pt>
                <c:pt idx="259">
                  <c:v>86.6</c:v>
                </c:pt>
                <c:pt idx="260">
                  <c:v>86.7</c:v>
                </c:pt>
              </c:numCache>
            </c:numRef>
          </c:xVal>
          <c:yVal>
            <c:numRef>
              <c:f>'Temperature Table'!$G$4:$G$264</c:f>
              <c:numCache>
                <c:formatCode>0</c:formatCode>
                <c:ptCount val="261"/>
                <c:pt idx="0">
                  <c:v>72</c:v>
                </c:pt>
                <c:pt idx="1">
                  <c:v>72</c:v>
                </c:pt>
                <c:pt idx="2">
                  <c:v>98</c:v>
                </c:pt>
                <c:pt idx="3">
                  <c:v>114</c:v>
                </c:pt>
                <c:pt idx="4">
                  <c:v>109.5</c:v>
                </c:pt>
                <c:pt idx="5">
                  <c:v>122</c:v>
                </c:pt>
                <c:pt idx="6">
                  <c:v>123</c:v>
                </c:pt>
                <c:pt idx="7">
                  <c:v>83</c:v>
                </c:pt>
                <c:pt idx="8">
                  <c:v>77</c:v>
                </c:pt>
                <c:pt idx="9">
                  <c:v>92</c:v>
                </c:pt>
                <c:pt idx="10">
                  <c:v>89</c:v>
                </c:pt>
                <c:pt idx="11">
                  <c:v>115</c:v>
                </c:pt>
                <c:pt idx="12">
                  <c:v>91</c:v>
                </c:pt>
                <c:pt idx="13">
                  <c:v>107</c:v>
                </c:pt>
                <c:pt idx="14">
                  <c:v>92</c:v>
                </c:pt>
                <c:pt idx="15">
                  <c:v>86</c:v>
                </c:pt>
                <c:pt idx="16">
                  <c:v>77</c:v>
                </c:pt>
                <c:pt idx="17">
                  <c:v>102</c:v>
                </c:pt>
                <c:pt idx="18">
                  <c:v>139</c:v>
                </c:pt>
                <c:pt idx="19">
                  <c:v>107.5</c:v>
                </c:pt>
                <c:pt idx="20">
                  <c:v>152</c:v>
                </c:pt>
                <c:pt idx="21">
                  <c:v>131</c:v>
                </c:pt>
                <c:pt idx="22">
                  <c:v>178</c:v>
                </c:pt>
                <c:pt idx="23">
                  <c:v>110</c:v>
                </c:pt>
                <c:pt idx="24">
                  <c:v>141.25</c:v>
                </c:pt>
                <c:pt idx="25">
                  <c:v>185</c:v>
                </c:pt>
                <c:pt idx="26">
                  <c:v>127.33333333333333</c:v>
                </c:pt>
                <c:pt idx="27">
                  <c:v>101</c:v>
                </c:pt>
                <c:pt idx="28">
                  <c:v>148</c:v>
                </c:pt>
                <c:pt idx="29">
                  <c:v>121</c:v>
                </c:pt>
                <c:pt idx="30">
                  <c:v>142.25</c:v>
                </c:pt>
                <c:pt idx="31">
                  <c:v>115.66666666666667</c:v>
                </c:pt>
                <c:pt idx="32">
                  <c:v>135.66666666666666</c:v>
                </c:pt>
                <c:pt idx="33">
                  <c:v>137.33333333333334</c:v>
                </c:pt>
                <c:pt idx="34">
                  <c:v>140.5</c:v>
                </c:pt>
                <c:pt idx="35">
                  <c:v>183</c:v>
                </c:pt>
                <c:pt idx="36">
                  <c:v>168</c:v>
                </c:pt>
                <c:pt idx="37">
                  <c:v>150</c:v>
                </c:pt>
                <c:pt idx="38">
                  <c:v>139</c:v>
                </c:pt>
                <c:pt idx="39">
                  <c:v>105</c:v>
                </c:pt>
                <c:pt idx="40">
                  <c:v>130.75</c:v>
                </c:pt>
                <c:pt idx="41">
                  <c:v>148</c:v>
                </c:pt>
                <c:pt idx="42">
                  <c:v>194.33333333333334</c:v>
                </c:pt>
                <c:pt idx="43">
                  <c:v>143.5</c:v>
                </c:pt>
                <c:pt idx="44">
                  <c:v>171</c:v>
                </c:pt>
                <c:pt idx="45">
                  <c:v>122.5</c:v>
                </c:pt>
                <c:pt idx="46">
                  <c:v>168</c:v>
                </c:pt>
                <c:pt idx="47">
                  <c:v>222</c:v>
                </c:pt>
                <c:pt idx="48">
                  <c:v>121.66666666666667</c:v>
                </c:pt>
                <c:pt idx="49">
                  <c:v>163.5</c:v>
                </c:pt>
                <c:pt idx="50">
                  <c:v>137</c:v>
                </c:pt>
                <c:pt idx="51">
                  <c:v>180</c:v>
                </c:pt>
                <c:pt idx="52">
                  <c:v>132.33333333333334</c:v>
                </c:pt>
                <c:pt idx="53">
                  <c:v>125.66666666666667</c:v>
                </c:pt>
                <c:pt idx="54">
                  <c:v>128.66666666666666</c:v>
                </c:pt>
                <c:pt idx="55">
                  <c:v>148.5</c:v>
                </c:pt>
                <c:pt idx="56">
                  <c:v>157</c:v>
                </c:pt>
                <c:pt idx="57">
                  <c:v>119.33333333333333</c:v>
                </c:pt>
                <c:pt idx="58">
                  <c:v>177.375</c:v>
                </c:pt>
                <c:pt idx="59">
                  <c:v>167</c:v>
                </c:pt>
                <c:pt idx="60">
                  <c:v>193</c:v>
                </c:pt>
                <c:pt idx="61">
                  <c:v>161.66666666666666</c:v>
                </c:pt>
                <c:pt idx="62">
                  <c:v>128.25</c:v>
                </c:pt>
                <c:pt idx="63">
                  <c:v>142</c:v>
                </c:pt>
                <c:pt idx="64">
                  <c:v>156</c:v>
                </c:pt>
                <c:pt idx="65">
                  <c:v>171</c:v>
                </c:pt>
                <c:pt idx="66">
                  <c:v>117</c:v>
                </c:pt>
                <c:pt idx="67">
                  <c:v>117</c:v>
                </c:pt>
                <c:pt idx="68">
                  <c:v>167.66666666666666</c:v>
                </c:pt>
                <c:pt idx="69">
                  <c:v>135.5</c:v>
                </c:pt>
                <c:pt idx="70">
                  <c:v>230</c:v>
                </c:pt>
                <c:pt idx="71">
                  <c:v>149.5</c:v>
                </c:pt>
                <c:pt idx="72">
                  <c:v>146.19999999999999</c:v>
                </c:pt>
                <c:pt idx="73">
                  <c:v>138</c:v>
                </c:pt>
                <c:pt idx="74">
                  <c:v>139.25</c:v>
                </c:pt>
                <c:pt idx="75">
                  <c:v>167</c:v>
                </c:pt>
                <c:pt idx="76">
                  <c:v>149</c:v>
                </c:pt>
                <c:pt idx="77">
                  <c:v>119</c:v>
                </c:pt>
                <c:pt idx="78">
                  <c:v>132</c:v>
                </c:pt>
                <c:pt idx="79">
                  <c:v>145.66666666666666</c:v>
                </c:pt>
                <c:pt idx="80">
                  <c:v>130</c:v>
                </c:pt>
                <c:pt idx="81">
                  <c:v>197.33333333333334</c:v>
                </c:pt>
                <c:pt idx="82">
                  <c:v>177.2</c:v>
                </c:pt>
                <c:pt idx="83">
                  <c:v>154.33333333333334</c:v>
                </c:pt>
                <c:pt idx="84">
                  <c:v>171</c:v>
                </c:pt>
                <c:pt idx="85">
                  <c:v>105</c:v>
                </c:pt>
                <c:pt idx="86">
                  <c:v>159</c:v>
                </c:pt>
                <c:pt idx="87">
                  <c:v>139</c:v>
                </c:pt>
                <c:pt idx="88">
                  <c:v>162</c:v>
                </c:pt>
                <c:pt idx="89">
                  <c:v>153.80000000000001</c:v>
                </c:pt>
                <c:pt idx="90">
                  <c:v>147</c:v>
                </c:pt>
                <c:pt idx="91">
                  <c:v>145.88888888888889</c:v>
                </c:pt>
                <c:pt idx="92">
                  <c:v>121</c:v>
                </c:pt>
                <c:pt idx="93">
                  <c:v>153</c:v>
                </c:pt>
                <c:pt idx="94">
                  <c:v>134.5</c:v>
                </c:pt>
                <c:pt idx="95">
                  <c:v>197.5</c:v>
                </c:pt>
                <c:pt idx="96">
                  <c:v>111</c:v>
                </c:pt>
                <c:pt idx="97">
                  <c:v>133</c:v>
                </c:pt>
                <c:pt idx="98">
                  <c:v>148.66666666666666</c:v>
                </c:pt>
                <c:pt idx="99">
                  <c:v>120.75</c:v>
                </c:pt>
                <c:pt idx="100">
                  <c:v>155.75</c:v>
                </c:pt>
                <c:pt idx="101">
                  <c:v>138.33333333333334</c:v>
                </c:pt>
                <c:pt idx="102">
                  <c:v>149.85714285714286</c:v>
                </c:pt>
                <c:pt idx="103">
                  <c:v>141.5</c:v>
                </c:pt>
                <c:pt idx="104">
                  <c:v>124</c:v>
                </c:pt>
                <c:pt idx="105">
                  <c:v>154.4</c:v>
                </c:pt>
                <c:pt idx="106">
                  <c:v>160.5</c:v>
                </c:pt>
                <c:pt idx="107">
                  <c:v>211</c:v>
                </c:pt>
                <c:pt idx="108">
                  <c:v>169.75</c:v>
                </c:pt>
                <c:pt idx="109">
                  <c:v>131</c:v>
                </c:pt>
                <c:pt idx="110">
                  <c:v>190.8</c:v>
                </c:pt>
                <c:pt idx="111">
                  <c:v>195.75</c:v>
                </c:pt>
                <c:pt idx="112">
                  <c:v>160</c:v>
                </c:pt>
                <c:pt idx="113">
                  <c:v>175</c:v>
                </c:pt>
                <c:pt idx="114">
                  <c:v>128.22222222222223</c:v>
                </c:pt>
                <c:pt idx="115">
                  <c:v>168.875</c:v>
                </c:pt>
                <c:pt idx="116">
                  <c:v>191.75</c:v>
                </c:pt>
                <c:pt idx="117">
                  <c:v>208.66666666666666</c:v>
                </c:pt>
                <c:pt idx="118">
                  <c:v>229.66666666666666</c:v>
                </c:pt>
                <c:pt idx="119">
                  <c:v>183.4</c:v>
                </c:pt>
                <c:pt idx="120">
                  <c:v>182</c:v>
                </c:pt>
                <c:pt idx="121">
                  <c:v>135.5</c:v>
                </c:pt>
                <c:pt idx="122">
                  <c:v>152</c:v>
                </c:pt>
                <c:pt idx="123">
                  <c:v>176.66666666666666</c:v>
                </c:pt>
                <c:pt idx="124">
                  <c:v>187.66666666666666</c:v>
                </c:pt>
                <c:pt idx="125">
                  <c:v>153.33333333333334</c:v>
                </c:pt>
                <c:pt idx="126">
                  <c:v>170.4</c:v>
                </c:pt>
                <c:pt idx="127">
                  <c:v>234</c:v>
                </c:pt>
                <c:pt idx="128">
                  <c:v>179.4</c:v>
                </c:pt>
                <c:pt idx="129">
                  <c:v>180.5</c:v>
                </c:pt>
                <c:pt idx="130">
                  <c:v>179.5</c:v>
                </c:pt>
                <c:pt idx="131">
                  <c:v>209.5</c:v>
                </c:pt>
                <c:pt idx="132">
                  <c:v>160.80000000000001</c:v>
                </c:pt>
                <c:pt idx="133">
                  <c:v>156.75</c:v>
                </c:pt>
                <c:pt idx="134">
                  <c:v>158.66666666666666</c:v>
                </c:pt>
                <c:pt idx="135">
                  <c:v>254</c:v>
                </c:pt>
                <c:pt idx="136">
                  <c:v>156.5</c:v>
                </c:pt>
                <c:pt idx="137">
                  <c:v>180</c:v>
                </c:pt>
                <c:pt idx="138">
                  <c:v>183</c:v>
                </c:pt>
                <c:pt idx="139">
                  <c:v>182.8</c:v>
                </c:pt>
                <c:pt idx="140">
                  <c:v>170.57142857142858</c:v>
                </c:pt>
                <c:pt idx="141">
                  <c:v>206</c:v>
                </c:pt>
                <c:pt idx="142">
                  <c:v>185.75</c:v>
                </c:pt>
                <c:pt idx="143">
                  <c:v>156</c:v>
                </c:pt>
                <c:pt idx="144">
                  <c:v>197.66666666666666</c:v>
                </c:pt>
                <c:pt idx="145">
                  <c:v>166.75</c:v>
                </c:pt>
                <c:pt idx="146">
                  <c:v>245</c:v>
                </c:pt>
                <c:pt idx="147">
                  <c:v>212.5</c:v>
                </c:pt>
                <c:pt idx="148">
                  <c:v>182.625</c:v>
                </c:pt>
                <c:pt idx="149">
                  <c:v>185</c:v>
                </c:pt>
                <c:pt idx="150">
                  <c:v>214</c:v>
                </c:pt>
                <c:pt idx="151">
                  <c:v>211</c:v>
                </c:pt>
                <c:pt idx="152">
                  <c:v>141</c:v>
                </c:pt>
                <c:pt idx="153">
                  <c:v>197.5</c:v>
                </c:pt>
                <c:pt idx="154">
                  <c:v>175.4</c:v>
                </c:pt>
                <c:pt idx="155">
                  <c:v>253.25</c:v>
                </c:pt>
                <c:pt idx="156">
                  <c:v>177.75</c:v>
                </c:pt>
                <c:pt idx="157">
                  <c:v>273</c:v>
                </c:pt>
                <c:pt idx="158">
                  <c:v>207</c:v>
                </c:pt>
                <c:pt idx="159">
                  <c:v>213</c:v>
                </c:pt>
                <c:pt idx="160">
                  <c:v>175.25</c:v>
                </c:pt>
                <c:pt idx="161">
                  <c:v>184.66666666666666</c:v>
                </c:pt>
                <c:pt idx="162">
                  <c:v>210.5</c:v>
                </c:pt>
                <c:pt idx="163">
                  <c:v>187.42857142857142</c:v>
                </c:pt>
                <c:pt idx="164">
                  <c:v>187</c:v>
                </c:pt>
                <c:pt idx="165">
                  <c:v>156</c:v>
                </c:pt>
                <c:pt idx="166">
                  <c:v>190</c:v>
                </c:pt>
                <c:pt idx="167">
                  <c:v>188.5</c:v>
                </c:pt>
                <c:pt idx="168">
                  <c:v>270</c:v>
                </c:pt>
                <c:pt idx="169">
                  <c:v>214.25</c:v>
                </c:pt>
                <c:pt idx="170">
                  <c:v>209</c:v>
                </c:pt>
                <c:pt idx="171">
                  <c:v>171.66666666666666</c:v>
                </c:pt>
                <c:pt idx="172">
                  <c:v>183.33333333333334</c:v>
                </c:pt>
                <c:pt idx="173">
                  <c:v>216.5</c:v>
                </c:pt>
                <c:pt idx="174">
                  <c:v>160</c:v>
                </c:pt>
                <c:pt idx="175">
                  <c:v>215.33333333333334</c:v>
                </c:pt>
                <c:pt idx="176">
                  <c:v>264</c:v>
                </c:pt>
                <c:pt idx="177">
                  <c:v>172</c:v>
                </c:pt>
                <c:pt idx="178">
                  <c:v>210</c:v>
                </c:pt>
                <c:pt idx="179">
                  <c:v>215</c:v>
                </c:pt>
                <c:pt idx="180">
                  <c:v>177</c:v>
                </c:pt>
                <c:pt idx="181">
                  <c:v>237</c:v>
                </c:pt>
                <c:pt idx="182">
                  <c:v>185.75</c:v>
                </c:pt>
                <c:pt idx="183">
                  <c:v>205</c:v>
                </c:pt>
                <c:pt idx="184">
                  <c:v>184.5</c:v>
                </c:pt>
                <c:pt idx="185">
                  <c:v>117</c:v>
                </c:pt>
                <c:pt idx="186">
                  <c:v>161.5</c:v>
                </c:pt>
                <c:pt idx="187">
                  <c:v>155.33333333333334</c:v>
                </c:pt>
                <c:pt idx="188">
                  <c:v>185.25</c:v>
                </c:pt>
                <c:pt idx="189">
                  <c:v>175.33333333333334</c:v>
                </c:pt>
                <c:pt idx="190">
                  <c:v>202.33333333333334</c:v>
                </c:pt>
                <c:pt idx="191">
                  <c:v>230.2</c:v>
                </c:pt>
                <c:pt idx="192">
                  <c:v>173.66666666666666</c:v>
                </c:pt>
                <c:pt idx="193">
                  <c:v>166</c:v>
                </c:pt>
                <c:pt idx="194">
                  <c:v>229</c:v>
                </c:pt>
                <c:pt idx="195">
                  <c:v>141</c:v>
                </c:pt>
                <c:pt idx="196">
                  <c:v>195.33333333333334</c:v>
                </c:pt>
                <c:pt idx="197">
                  <c:v>213.5</c:v>
                </c:pt>
                <c:pt idx="198">
                  <c:v>308</c:v>
                </c:pt>
                <c:pt idx="199">
                  <c:v>229.83333333333334</c:v>
                </c:pt>
                <c:pt idx="200">
                  <c:v>167</c:v>
                </c:pt>
                <c:pt idx="201">
                  <c:v>199.33333333333334</c:v>
                </c:pt>
                <c:pt idx="202">
                  <c:v>289.75</c:v>
                </c:pt>
                <c:pt idx="203">
                  <c:v>243.33333333333334</c:v>
                </c:pt>
                <c:pt idx="204">
                  <c:v>272</c:v>
                </c:pt>
                <c:pt idx="205">
                  <c:v>215</c:v>
                </c:pt>
                <c:pt idx="206">
                  <c:v>215.75</c:v>
                </c:pt>
                <c:pt idx="207">
                  <c:v>245</c:v>
                </c:pt>
                <c:pt idx="208">
                  <c:v>260</c:v>
                </c:pt>
                <c:pt idx="209">
                  <c:v>343.33333333333331</c:v>
                </c:pt>
                <c:pt idx="210">
                  <c:v>250.8</c:v>
                </c:pt>
                <c:pt idx="211">
                  <c:v>243.75</c:v>
                </c:pt>
                <c:pt idx="212">
                  <c:v>238</c:v>
                </c:pt>
                <c:pt idx="213">
                  <c:v>186.6</c:v>
                </c:pt>
                <c:pt idx="214">
                  <c:v>338.5</c:v>
                </c:pt>
                <c:pt idx="215">
                  <c:v>278</c:v>
                </c:pt>
                <c:pt idx="216">
                  <c:v>251.66666666666666</c:v>
                </c:pt>
                <c:pt idx="217">
                  <c:v>273.5</c:v>
                </c:pt>
                <c:pt idx="218">
                  <c:v>251.66666666666666</c:v>
                </c:pt>
                <c:pt idx="219">
                  <c:v>215</c:v>
                </c:pt>
                <c:pt idx="220">
                  <c:v>173.5</c:v>
                </c:pt>
                <c:pt idx="221">
                  <c:v>264.66666666666669</c:v>
                </c:pt>
                <c:pt idx="222">
                  <c:v>225.16666666666666</c:v>
                </c:pt>
                <c:pt idx="223">
                  <c:v>256.71428571428572</c:v>
                </c:pt>
                <c:pt idx="224">
                  <c:v>209</c:v>
                </c:pt>
                <c:pt idx="225">
                  <c:v>298.8</c:v>
                </c:pt>
                <c:pt idx="226">
                  <c:v>222.5</c:v>
                </c:pt>
                <c:pt idx="227">
                  <c:v>283.5</c:v>
                </c:pt>
                <c:pt idx="228">
                  <c:v>261.5</c:v>
                </c:pt>
                <c:pt idx="229">
                  <c:v>234.33333333333334</c:v>
                </c:pt>
                <c:pt idx="230">
                  <c:v>220</c:v>
                </c:pt>
                <c:pt idx="231">
                  <c:v>318.5</c:v>
                </c:pt>
                <c:pt idx="232">
                  <c:v>264.33333333333331</c:v>
                </c:pt>
                <c:pt idx="233">
                  <c:v>258.75</c:v>
                </c:pt>
                <c:pt idx="234">
                  <c:v>302.33333333333331</c:v>
                </c:pt>
                <c:pt idx="235">
                  <c:v>246</c:v>
                </c:pt>
                <c:pt idx="236">
                  <c:v>320.33333333333331</c:v>
                </c:pt>
                <c:pt idx="237">
                  <c:v>255.33333333333334</c:v>
                </c:pt>
                <c:pt idx="238">
                  <c:v>229.5</c:v>
                </c:pt>
                <c:pt idx="239">
                  <c:v>231.66666666666666</c:v>
                </c:pt>
                <c:pt idx="240">
                  <c:v>236.5</c:v>
                </c:pt>
                <c:pt idx="241">
                  <c:v>268</c:v>
                </c:pt>
                <c:pt idx="242">
                  <c:v>341</c:v>
                </c:pt>
                <c:pt idx="243">
                  <c:v>190</c:v>
                </c:pt>
                <c:pt idx="244">
                  <c:v>263.5</c:v>
                </c:pt>
                <c:pt idx="245">
                  <c:v>332</c:v>
                </c:pt>
                <c:pt idx="246">
                  <c:v>376</c:v>
                </c:pt>
                <c:pt idx="247">
                  <c:v>263.33333333333331</c:v>
                </c:pt>
                <c:pt idx="248">
                  <c:v>204</c:v>
                </c:pt>
                <c:pt idx="249">
                  <c:v>225.83333333333334</c:v>
                </c:pt>
                <c:pt idx="250">
                  <c:v>264.71428571428572</c:v>
                </c:pt>
                <c:pt idx="251">
                  <c:v>307.66666666666669</c:v>
                </c:pt>
                <c:pt idx="252">
                  <c:v>275.5</c:v>
                </c:pt>
                <c:pt idx="253">
                  <c:v>288.33333333333331</c:v>
                </c:pt>
                <c:pt idx="254">
                  <c:v>287</c:v>
                </c:pt>
                <c:pt idx="255">
                  <c:v>293.33333333333331</c:v>
                </c:pt>
                <c:pt idx="256">
                  <c:v>351</c:v>
                </c:pt>
                <c:pt idx="257">
                  <c:v>236</c:v>
                </c:pt>
                <c:pt idx="258">
                  <c:v>307</c:v>
                </c:pt>
                <c:pt idx="259">
                  <c:v>344.5</c:v>
                </c:pt>
                <c:pt idx="260">
                  <c:v>190</c:v>
                </c:pt>
              </c:numCache>
            </c:numRef>
          </c:yVal>
          <c:smooth val="0"/>
          <c:extLst>
            <c:ext xmlns:c16="http://schemas.microsoft.com/office/drawing/2014/chart" uri="{C3380CC4-5D6E-409C-BE32-E72D297353CC}">
              <c16:uniqueId val="{00000000-C21F-4E59-BFC7-6C381684C755}"/>
            </c:ext>
          </c:extLst>
        </c:ser>
        <c:dLbls>
          <c:showLegendKey val="0"/>
          <c:showVal val="0"/>
          <c:showCatName val="0"/>
          <c:showSerName val="0"/>
          <c:showPercent val="0"/>
          <c:showBubbleSize val="0"/>
        </c:dLbls>
        <c:axId val="996313696"/>
        <c:axId val="996311296"/>
      </c:scatterChart>
      <c:valAx>
        <c:axId val="99631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311296"/>
        <c:crosses val="autoZero"/>
        <c:crossBetween val="midCat"/>
      </c:valAx>
      <c:valAx>
        <c:axId val="996311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313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27781</xdr:colOff>
      <xdr:row>2</xdr:row>
      <xdr:rowOff>21431</xdr:rowOff>
    </xdr:from>
    <xdr:to>
      <xdr:col>8</xdr:col>
      <xdr:colOff>480218</xdr:colOff>
      <xdr:row>16</xdr:row>
      <xdr:rowOff>97631</xdr:rowOff>
    </xdr:to>
    <xdr:graphicFrame macro="">
      <xdr:nvGraphicFramePr>
        <xdr:cNvPr id="2" name="Chart 2">
          <a:extLst>
            <a:ext uri="{FF2B5EF4-FFF2-40B4-BE49-F238E27FC236}">
              <a16:creationId xmlns:a16="http://schemas.microsoft.com/office/drawing/2014/main" id="{99AEF3E6-9100-1472-578F-5451BAE03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543718</xdr:colOff>
      <xdr:row>2</xdr:row>
      <xdr:rowOff>29367</xdr:rowOff>
    </xdr:from>
    <xdr:to>
      <xdr:col>17</xdr:col>
      <xdr:colOff>3968</xdr:colOff>
      <xdr:row>16</xdr:row>
      <xdr:rowOff>105567</xdr:rowOff>
    </xdr:to>
    <xdr:graphicFrame macro="">
      <xdr:nvGraphicFramePr>
        <xdr:cNvPr id="3" name="Chart 2">
          <a:extLst>
            <a:ext uri="{FF2B5EF4-FFF2-40B4-BE49-F238E27FC236}">
              <a16:creationId xmlns:a16="http://schemas.microsoft.com/office/drawing/2014/main" id="{33306103-DEA5-B9A1-8A35-0DA7DDC63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571498</xdr:colOff>
      <xdr:row>18</xdr:row>
      <xdr:rowOff>128589</xdr:rowOff>
    </xdr:from>
    <xdr:to>
      <xdr:col>16</xdr:col>
      <xdr:colOff>107155</xdr:colOff>
      <xdr:row>27</xdr:row>
      <xdr:rowOff>95251</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FABD44A2-4CFE-E66C-D509-2C185B2215B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643561" y="3855245"/>
              <a:ext cx="3178969" cy="1681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35719</xdr:colOff>
      <xdr:row>2</xdr:row>
      <xdr:rowOff>23812</xdr:rowOff>
    </xdr:from>
    <xdr:to>
      <xdr:col>24</xdr:col>
      <xdr:colOff>357188</xdr:colOff>
      <xdr:row>16</xdr:row>
      <xdr:rowOff>100012</xdr:rowOff>
    </xdr:to>
    <xdr:graphicFrame macro="">
      <xdr:nvGraphicFramePr>
        <xdr:cNvPr id="9" name="Chart 8">
          <a:extLst>
            <a:ext uri="{FF2B5EF4-FFF2-40B4-BE49-F238E27FC236}">
              <a16:creationId xmlns:a16="http://schemas.microsoft.com/office/drawing/2014/main" id="{4C824559-FC49-487D-916A-804506025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 Nuri" refreshedDate="45781.710238310188" backgroundQuery="1" createdVersion="8" refreshedVersion="8" minRefreshableVersion="3" recordCount="0" supportSubquery="1" supportAdvancedDrill="1" xr:uid="{41EB0B85-0EAE-4BB8-874F-5B62F55171FD}">
  <cacheSource type="external" connectionId="3"/>
  <cacheFields count="5">
    <cacheField name="[NAN1209 tblCompanySales].[Calendar].[Year]" caption="Year" numFmtId="0" level="1">
      <sharedItems containsSemiMixedTypes="0" containsString="0" containsNumber="1" containsInteger="1" minValue="2019" maxValue="2021" count="3">
        <n v="2019"/>
        <n v="2020"/>
        <n v="2021"/>
      </sharedItems>
      <extLst>
        <ext xmlns:x15="http://schemas.microsoft.com/office/spreadsheetml/2010/11/main" uri="{4F2E5C28-24EA-4eb8-9CBF-B6C8F9C3D259}">
          <x15:cachedUniqueNames>
            <x15:cachedUniqueName index="0" name="[NAN1209 tblCompanySales].[Calendar].[Year].&amp;[2019]"/>
            <x15:cachedUniqueName index="1" name="[NAN1209 tblCompanySales].[Calendar].[Year].&amp;[2020]"/>
            <x15:cachedUniqueName index="2" name="[NAN1209 tblCompanySales].[Calendar].[Year].&amp;[2021]"/>
          </x15:cachedUniqueNames>
        </ext>
      </extLst>
    </cacheField>
    <cacheField name="[NAN1209 tblCompanySales].[Calendar].[Month]" caption="Month" numFmtId="0" level="2">
      <sharedItems containsSemiMixedTypes="0" containsNonDate="0" containsString="0"/>
    </cacheField>
    <cacheField name="[NAN1209 tblCompanySales].[Calendar].[Weekday]" caption="Weekday" numFmtId="0" level="3">
      <sharedItems containsSemiMixedTypes="0" containsNonDate="0" containsString="0"/>
    </cacheField>
    <cacheField name="[Measures].[Average of Customers]" caption="Average of Customers" numFmtId="0" hierarchy="19" level="32767"/>
    <cacheField name="[NAN1209 tblCompanyStores].[City].[City]" caption="City" numFmtId="0" hierarchy="11" level="1">
      <sharedItems containsSemiMixedTypes="0" containsNonDate="0" containsString="0"/>
    </cacheField>
  </cacheFields>
  <cacheHierarchies count="21">
    <cacheHierarchy uniqueName="[NAN1209 tblCompanySales].[Calendar]" caption="Calendar" defaultMemberUniqueName="[NAN1209 tblCompanySales].[Calendar].[All]" allUniqueName="[NAN1209 tblCompanySales].[Calendar].[All]" dimensionUniqueName="[NAN1209 tblCompanySales]" displayFolder="" count="4" unbalanced="0">
      <fieldsUsage count="4">
        <fieldUsage x="-1"/>
        <fieldUsage x="0"/>
        <fieldUsage x="1"/>
        <fieldUsage x="2"/>
      </fieldsUsage>
    </cacheHierarchy>
    <cacheHierarchy uniqueName="[NAN1209 tblCompanySales].[StoreID]" caption="StoreID" attribute="1" defaultMemberUniqueName="[NAN1209 tblCompanySales].[StoreID].[All]" allUniqueName="[NAN1209 tblCompanySales].[StoreID].[All]" dimensionUniqueName="[NAN1209 tblCompanySales]" displayFolder="" count="0" memberValueDatatype="130" unbalanced="0"/>
    <cacheHierarchy uniqueName="[NAN1209 tblCompanySales].[Date]" caption="Date" attribute="1" time="1" defaultMemberUniqueName="[NAN1209 tblCompanySales].[Date].[All]" allUniqueName="[NAN1209 tblCompanySales].[Date].[All]" dimensionUniqueName="[NAN1209 tblCompanySales]" displayFolder="" count="0" memberValueDatatype="7" unbalanced="0"/>
    <cacheHierarchy uniqueName="[NAN1209 tblCompanySales].[Year]" caption="Year" attribute="1" defaultMemberUniqueName="[NAN1209 tblCompanySales].[Year].[All]" allUniqueName="[NAN1209 tblCompanySales].[Year].[All]" dimensionUniqueName="[NAN1209 tblCompanySales]" displayFolder="" count="0" memberValueDatatype="20" unbalanced="0"/>
    <cacheHierarchy uniqueName="[NAN1209 tblCompanySales].[Month]" caption="Month" attribute="1" defaultMemberUniqueName="[NAN1209 tblCompanySales].[Month].[All]" allUniqueName="[NAN1209 tblCompanySales].[Month].[All]" dimensionUniqueName="[NAN1209 tblCompanySales]" displayFolder="" count="0" memberValueDatatype="130" unbalanced="0"/>
    <cacheHierarchy uniqueName="[NAN1209 tblCompanySales].[Weekday]" caption="Weekday" attribute="1" defaultMemberUniqueName="[NAN1209 tblCompanySales].[Weekday].[All]" allUniqueName="[NAN1209 tblCompanySales].[Weekday].[All]" dimensionUniqueName="[NAN1209 tblCompanySales]" displayFolder="" count="0" memberValueDatatype="130" unbalanced="0"/>
    <cacheHierarchy uniqueName="[NAN1209 tblCompanySales].[HighTemp]" caption="HighTemp" attribute="1" defaultMemberUniqueName="[NAN1209 tblCompanySales].[HighTemp].[All]" allUniqueName="[NAN1209 tblCompanySales].[HighTemp].[All]" dimensionUniqueName="[NAN1209 tblCompanySales]" displayFolder="" count="0" memberValueDatatype="5" unbalanced="0"/>
    <cacheHierarchy uniqueName="[NAN1209 tblCompanySales].[Rainy]" caption="Rainy" attribute="1" defaultMemberUniqueName="[NAN1209 tblCompanySales].[Rainy].[All]" allUniqueName="[NAN1209 tblCompanySales].[Rainy].[All]" dimensionUniqueName="[NAN1209 tblCompanySales]" displayFolder="" count="0" memberValueDatatype="130" unbalanced="0"/>
    <cacheHierarchy uniqueName="[NAN1209 tblCompanySales].[Customers]" caption="Customers" attribute="1" defaultMemberUniqueName="[NAN1209 tblCompanySales].[Customers].[All]" allUniqueName="[NAN1209 tblCompanySales].[Customers].[All]" dimensionUniqueName="[NAN1209 tblCompanySales]" displayFolder="" count="0" memberValueDatatype="20" unbalanced="0"/>
    <cacheHierarchy uniqueName="[NAN1209 tblCompanyStores].[StoreID]" caption="StoreID" attribute="1" defaultMemberUniqueName="[NAN1209 tblCompanyStores].[StoreID].[All]" allUniqueName="[NAN1209 tblCompanyStores].[StoreID].[All]" dimensionUniqueName="[NAN1209 tblCompanyStores]" displayFolder="" count="0" memberValueDatatype="130" unbalanced="0"/>
    <cacheHierarchy uniqueName="[NAN1209 tblCompanyStores].[Address]" caption="Address" attribute="1" defaultMemberUniqueName="[NAN1209 tblCompanyStores].[Address].[All]" allUniqueName="[NAN1209 tblCompanyStores].[Address].[All]" dimensionUniqueName="[NAN1209 tblCompanyStores]" displayFolder="" count="0" memberValueDatatype="130" unbalanced="0"/>
    <cacheHierarchy uniqueName="[NAN1209 tblCompanyStores].[City]" caption="City" attribute="1" defaultMemberUniqueName="[NAN1209 tblCompanyStores].[City].[All]" allUniqueName="[NAN1209 tblCompanyStores].[City].[All]" dimensionUniqueName="[NAN1209 tblCompanyStores]" displayFolder="" count="2" memberValueDatatype="130" unbalanced="0">
      <fieldsUsage count="2">
        <fieldUsage x="-1"/>
        <fieldUsage x="4"/>
      </fieldsUsage>
    </cacheHierarchy>
    <cacheHierarchy uniqueName="[NAN1209 tblCompanyStores].[County]" caption="County" attribute="1" defaultMemberUniqueName="[NAN1209 tblCompanyStores].[County].[All]" allUniqueName="[NAN1209 tblCompanyStores].[County].[All]" dimensionUniqueName="[NAN1209 tblCompanyStores]" displayFolder="" count="0" memberValueDatatype="130" unbalanced="0"/>
    <cacheHierarchy uniqueName="[NAN1209 tblCompanyStores].[State]" caption="State" attribute="1" defaultMemberUniqueName="[NAN1209 tblCompanyStores].[State].[All]" allUniqueName="[NAN1209 tblCompanyStores].[State].[All]" dimensionUniqueName="[NAN1209 tblCompanyStores]" displayFolder="" count="0" memberValueDatatype="130" unbalanced="0"/>
    <cacheHierarchy uniqueName="[NAN1209 tblCompanyStores].[PostalCode]" caption="PostalCode" attribute="1" defaultMemberUniqueName="[NAN1209 tblCompanyStores].[PostalCode].[All]" allUniqueName="[NAN1209 tblCompanyStores].[PostalCode].[All]" dimensionUniqueName="[NAN1209 tblCompanyStores]" displayFolder="" count="0" memberValueDatatype="20" unbalanced="0"/>
    <cacheHierarchy uniqueName="[Measures].[__XL_Count NAN1209 tblCompanySales]" caption="__XL_Count NAN1209 tblCompanySales" measure="1" displayFolder="" measureGroup="NAN1209 tblCompanySales" count="0" hidden="1"/>
    <cacheHierarchy uniqueName="[Measures].[__XL_Count NAN1209 tblCompanyStores]" caption="__XL_Count NAN1209 tblCompanyStores" measure="1" displayFolder="" measureGroup="NAN1209 tblCompanyStores" count="0" hidden="1"/>
    <cacheHierarchy uniqueName="[Measures].[__No measures defined]" caption="__No measures defined" measure="1" displayFolder="" count="0" hidden="1"/>
    <cacheHierarchy uniqueName="[Measures].[Sum of Customers]" caption="Sum of Customers" measure="1" displayFolder="" measureGroup="NAN1209 tblCompanySales" count="0" hidden="1">
      <extLst>
        <ext xmlns:x15="http://schemas.microsoft.com/office/spreadsheetml/2010/11/main" uri="{B97F6D7D-B522-45F9-BDA1-12C45D357490}">
          <x15:cacheHierarchy aggregatedColumn="8"/>
        </ext>
      </extLst>
    </cacheHierarchy>
    <cacheHierarchy uniqueName="[Measures].[Average of Customers]" caption="Average of Customers" measure="1" displayFolder="" measureGroup="NAN1209 tblCompanySales"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HighTemp]" caption="Sum of HighTemp" measure="1" displayFolder="" measureGroup="NAN1209 tblCompanySales"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NAN1209 tblCompanySales" uniqueName="[NAN1209 tblCompanySales]" caption="NAN1209 tblCompanySales"/>
    <dimension name="NAN1209 tblCompanyStores" uniqueName="[NAN1209 tblCompanyStores]" caption="NAN1209 tblCompanyStores"/>
  </dimensions>
  <measureGroups count="2">
    <measureGroup name="NAN1209 tblCompanySales" caption="NAN1209 tblCompanySales"/>
    <measureGroup name="NAN1209 tblCompanyStores" caption="NAN1209 tblCompanyStore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 Nuri" refreshedDate="45781.710238888889" backgroundQuery="1" createdVersion="8" refreshedVersion="8" minRefreshableVersion="3" recordCount="0" supportSubquery="1" supportAdvancedDrill="1" xr:uid="{1674DE5B-60D5-4C5C-BAD6-1C3B26C2A694}">
  <cacheSource type="external" connectionId="3"/>
  <cacheFields count="3">
    <cacheField name="[NAN1209 tblCompanySales].[Rainy].[Rainy]" caption="Rainy" numFmtId="0" hierarchy="7" level="1">
      <sharedItems count="2">
        <s v="Heavy Rainfall"/>
        <s v="Normal"/>
      </sharedItems>
    </cacheField>
    <cacheField name="[Measures].[Average of Customers]" caption="Average of Customers" numFmtId="0" hierarchy="19" level="32767"/>
    <cacheField name="[NAN1209 tblCompanyStores].[City].[City]" caption="City" numFmtId="0" hierarchy="11" level="1">
      <sharedItems containsSemiMixedTypes="0" containsNonDate="0" containsString="0"/>
    </cacheField>
  </cacheFields>
  <cacheHierarchies count="21">
    <cacheHierarchy uniqueName="[NAN1209 tblCompanySales].[Calendar]" caption="Calendar" defaultMemberUniqueName="[NAN1209 tblCompanySales].[Calendar].[All]" allUniqueName="[NAN1209 tblCompanySales].[Calendar].[All]" dimensionUniqueName="[NAN1209 tblCompanySales]" displayFolder="" count="0" unbalanced="0"/>
    <cacheHierarchy uniqueName="[NAN1209 tblCompanySales].[StoreID]" caption="StoreID" attribute="1" defaultMemberUniqueName="[NAN1209 tblCompanySales].[StoreID].[All]" allUniqueName="[NAN1209 tblCompanySales].[StoreID].[All]" dimensionUniqueName="[NAN1209 tblCompanySales]" displayFolder="" count="0" memberValueDatatype="130" unbalanced="0"/>
    <cacheHierarchy uniqueName="[NAN1209 tblCompanySales].[Date]" caption="Date" attribute="1" time="1" defaultMemberUniqueName="[NAN1209 tblCompanySales].[Date].[All]" allUniqueName="[NAN1209 tblCompanySales].[Date].[All]" dimensionUniqueName="[NAN1209 tblCompanySales]" displayFolder="" count="0" memberValueDatatype="7" unbalanced="0"/>
    <cacheHierarchy uniqueName="[NAN1209 tblCompanySales].[Year]" caption="Year" attribute="1" defaultMemberUniqueName="[NAN1209 tblCompanySales].[Year].[All]" allUniqueName="[NAN1209 tblCompanySales].[Year].[All]" dimensionUniqueName="[NAN1209 tblCompanySales]" displayFolder="" count="0" memberValueDatatype="20" unbalanced="0"/>
    <cacheHierarchy uniqueName="[NAN1209 tblCompanySales].[Month]" caption="Month" attribute="1" defaultMemberUniqueName="[NAN1209 tblCompanySales].[Month].[All]" allUniqueName="[NAN1209 tblCompanySales].[Month].[All]" dimensionUniqueName="[NAN1209 tblCompanySales]" displayFolder="" count="0" memberValueDatatype="130" unbalanced="0"/>
    <cacheHierarchy uniqueName="[NAN1209 tblCompanySales].[Weekday]" caption="Weekday" attribute="1" defaultMemberUniqueName="[NAN1209 tblCompanySales].[Weekday].[All]" allUniqueName="[NAN1209 tblCompanySales].[Weekday].[All]" dimensionUniqueName="[NAN1209 tblCompanySales]" displayFolder="" count="0" memberValueDatatype="130" unbalanced="0"/>
    <cacheHierarchy uniqueName="[NAN1209 tblCompanySales].[HighTemp]" caption="HighTemp" attribute="1" defaultMemberUniqueName="[NAN1209 tblCompanySales].[HighTemp].[All]" allUniqueName="[NAN1209 tblCompanySales].[HighTemp].[All]" dimensionUniqueName="[NAN1209 tblCompanySales]" displayFolder="" count="0" memberValueDatatype="5" unbalanced="0"/>
    <cacheHierarchy uniqueName="[NAN1209 tblCompanySales].[Rainy]" caption="Rainy" attribute="1" defaultMemberUniqueName="[NAN1209 tblCompanySales].[Rainy].[All]" allUniqueName="[NAN1209 tblCompanySales].[Rainy].[All]" dimensionUniqueName="[NAN1209 tblCompanySales]" displayFolder="" count="2" memberValueDatatype="130" unbalanced="0">
      <fieldsUsage count="2">
        <fieldUsage x="-1"/>
        <fieldUsage x="0"/>
      </fieldsUsage>
    </cacheHierarchy>
    <cacheHierarchy uniqueName="[NAN1209 tblCompanySales].[Customers]" caption="Customers" attribute="1" defaultMemberUniqueName="[NAN1209 tblCompanySales].[Customers].[All]" allUniqueName="[NAN1209 tblCompanySales].[Customers].[All]" dimensionUniqueName="[NAN1209 tblCompanySales]" displayFolder="" count="0" memberValueDatatype="20" unbalanced="0"/>
    <cacheHierarchy uniqueName="[NAN1209 tblCompanyStores].[StoreID]" caption="StoreID" attribute="1" defaultMemberUniqueName="[NAN1209 tblCompanyStores].[StoreID].[All]" allUniqueName="[NAN1209 tblCompanyStores].[StoreID].[All]" dimensionUniqueName="[NAN1209 tblCompanyStores]" displayFolder="" count="0" memberValueDatatype="130" unbalanced="0"/>
    <cacheHierarchy uniqueName="[NAN1209 tblCompanyStores].[Address]" caption="Address" attribute="1" defaultMemberUniqueName="[NAN1209 tblCompanyStores].[Address].[All]" allUniqueName="[NAN1209 tblCompanyStores].[Address].[All]" dimensionUniqueName="[NAN1209 tblCompanyStores]" displayFolder="" count="0" memberValueDatatype="130" unbalanced="0"/>
    <cacheHierarchy uniqueName="[NAN1209 tblCompanyStores].[City]" caption="City" attribute="1" defaultMemberUniqueName="[NAN1209 tblCompanyStores].[City].[All]" allUniqueName="[NAN1209 tblCompanyStores].[City].[All]" dimensionUniqueName="[NAN1209 tblCompanyStores]" displayFolder="" count="2" memberValueDatatype="130" unbalanced="0">
      <fieldsUsage count="2">
        <fieldUsage x="-1"/>
        <fieldUsage x="2"/>
      </fieldsUsage>
    </cacheHierarchy>
    <cacheHierarchy uniqueName="[NAN1209 tblCompanyStores].[County]" caption="County" attribute="1" defaultMemberUniqueName="[NAN1209 tblCompanyStores].[County].[All]" allUniqueName="[NAN1209 tblCompanyStores].[County].[All]" dimensionUniqueName="[NAN1209 tblCompanyStores]" displayFolder="" count="0" memberValueDatatype="130" unbalanced="0"/>
    <cacheHierarchy uniqueName="[NAN1209 tblCompanyStores].[State]" caption="State" attribute="1" defaultMemberUniqueName="[NAN1209 tblCompanyStores].[State].[All]" allUniqueName="[NAN1209 tblCompanyStores].[State].[All]" dimensionUniqueName="[NAN1209 tblCompanyStores]" displayFolder="" count="0" memberValueDatatype="130" unbalanced="0"/>
    <cacheHierarchy uniqueName="[NAN1209 tblCompanyStores].[PostalCode]" caption="PostalCode" attribute="1" defaultMemberUniqueName="[NAN1209 tblCompanyStores].[PostalCode].[All]" allUniqueName="[NAN1209 tblCompanyStores].[PostalCode].[All]" dimensionUniqueName="[NAN1209 tblCompanyStores]" displayFolder="" count="0" memberValueDatatype="20" unbalanced="0"/>
    <cacheHierarchy uniqueName="[Measures].[__XL_Count NAN1209 tblCompanySales]" caption="__XL_Count NAN1209 tblCompanySales" measure="1" displayFolder="" measureGroup="NAN1209 tblCompanySales" count="0" hidden="1"/>
    <cacheHierarchy uniqueName="[Measures].[__XL_Count NAN1209 tblCompanyStores]" caption="__XL_Count NAN1209 tblCompanyStores" measure="1" displayFolder="" measureGroup="NAN1209 tblCompanyStores" count="0" hidden="1"/>
    <cacheHierarchy uniqueName="[Measures].[__No measures defined]" caption="__No measures defined" measure="1" displayFolder="" count="0" hidden="1"/>
    <cacheHierarchy uniqueName="[Measures].[Sum of Customers]" caption="Sum of Customers" measure="1" displayFolder="" measureGroup="NAN1209 tblCompanySales" count="0" hidden="1">
      <extLst>
        <ext xmlns:x15="http://schemas.microsoft.com/office/spreadsheetml/2010/11/main" uri="{B97F6D7D-B522-45F9-BDA1-12C45D357490}">
          <x15:cacheHierarchy aggregatedColumn="8"/>
        </ext>
      </extLst>
    </cacheHierarchy>
    <cacheHierarchy uniqueName="[Measures].[Average of Customers]" caption="Average of Customers" measure="1" displayFolder="" measureGroup="NAN1209 tblCompany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HighTemp]" caption="Sum of HighTemp" measure="1" displayFolder="" measureGroup="NAN1209 tblCompanySales"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NAN1209 tblCompanySales" uniqueName="[NAN1209 tblCompanySales]" caption="NAN1209 tblCompanySales"/>
    <dimension name="NAN1209 tblCompanyStores" uniqueName="[NAN1209 tblCompanyStores]" caption="NAN1209 tblCompanyStores"/>
  </dimensions>
  <measureGroups count="2">
    <measureGroup name="NAN1209 tblCompanySales" caption="NAN1209 tblCompanySales"/>
    <measureGroup name="NAN1209 tblCompanyStores" caption="NAN1209 tblCompanyStore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 Nuri" refreshedDate="45781.710239236112" backgroundQuery="1" createdVersion="8" refreshedVersion="8" minRefreshableVersion="3" recordCount="0" supportSubquery="1" supportAdvancedDrill="1" xr:uid="{56CFA733-AEA3-4F19-A7A4-D1419A1F91A5}">
  <cacheSource type="external" connectionId="3"/>
  <cacheFields count="3">
    <cacheField name="[NAN1209 tblCompanySales].[HighTemp].[HighTemp]" caption="HighTemp" numFmtId="0" hierarchy="6" level="1">
      <sharedItems containsSemiMixedTypes="0" containsString="0" containsNumber="1" minValue="54.1" maxValue="108.5" count="375">
        <n v="54.1"/>
        <n v="55.7"/>
        <n v="55.9"/>
        <n v="56.7"/>
        <n v="57.1"/>
        <n v="57.2"/>
        <n v="57.3"/>
        <n v="57.4"/>
        <n v="57.5"/>
        <n v="58"/>
        <n v="58.2"/>
        <n v="58.7"/>
        <n v="58.8"/>
        <n v="59"/>
        <n v="59.2"/>
        <n v="59.4"/>
        <n v="59.5"/>
        <n v="59.6"/>
        <n v="59.9"/>
        <n v="60"/>
        <n v="60.2"/>
        <n v="60.3"/>
        <n v="60.6"/>
        <n v="61"/>
        <n v="61.4"/>
        <n v="61.9"/>
        <n v="62"/>
        <n v="62.1"/>
        <n v="62.2"/>
        <n v="62.4"/>
        <n v="62.5"/>
        <n v="62.6"/>
        <n v="62.7"/>
        <n v="62.8"/>
        <n v="62.9"/>
        <n v="63"/>
        <n v="63.1"/>
        <n v="63.2"/>
        <n v="63.3"/>
        <n v="63.4"/>
        <n v="63.5"/>
        <n v="63.6"/>
        <n v="63.7"/>
        <n v="63.9"/>
        <n v="64"/>
        <n v="64.099999999999994"/>
        <n v="64.2"/>
        <n v="64.3"/>
        <n v="64.400000000000006"/>
        <n v="64.5"/>
        <n v="64.599999999999994"/>
        <n v="64.7"/>
        <n v="64.8"/>
        <n v="64.900000000000006"/>
        <n v="65"/>
        <n v="65.099999999999994"/>
        <n v="65.3"/>
        <n v="65.400000000000006"/>
        <n v="65.5"/>
        <n v="65.599999999999994"/>
        <n v="65.7"/>
        <n v="65.8"/>
        <n v="65.900000000000006"/>
        <n v="66"/>
        <n v="66.099999999999994"/>
        <n v="66.2"/>
        <n v="66.3"/>
        <n v="66.400000000000006"/>
        <n v="66.5"/>
        <n v="66.599999999999994"/>
        <n v="66.7"/>
        <n v="66.8"/>
        <n v="66.900000000000006"/>
        <n v="67"/>
        <n v="67.099999999999994"/>
        <n v="67.2"/>
        <n v="67.3"/>
        <n v="67.400000000000006"/>
        <n v="67.5"/>
        <n v="67.599999999999994"/>
        <n v="67.7"/>
        <n v="67.8"/>
        <n v="67.900000000000006"/>
        <n v="68"/>
        <n v="68.099999999999994"/>
        <n v="68.2"/>
        <n v="68.3"/>
        <n v="68.400000000000006"/>
        <n v="68.5"/>
        <n v="68.599999999999994"/>
        <n v="68.7"/>
        <n v="68.8"/>
        <n v="68.900000000000006"/>
        <n v="69"/>
        <n v="69.099999999999994"/>
        <n v="69.2"/>
        <n v="69.3"/>
        <n v="69.400000000000006"/>
        <n v="69.5"/>
        <n v="69.599999999999994"/>
        <n v="69.7"/>
        <n v="69.8"/>
        <n v="69.900000000000006"/>
        <n v="70"/>
        <n v="70.099999999999994"/>
        <n v="70.2"/>
        <n v="70.3"/>
        <n v="70.400000000000006"/>
        <n v="70.5"/>
        <n v="70.599999999999994"/>
        <n v="70.7"/>
        <n v="70.8"/>
        <n v="70.900000000000006"/>
        <n v="71.099999999999994"/>
        <n v="71.2"/>
        <n v="71.3"/>
        <n v="71.400000000000006"/>
        <n v="71.5"/>
        <n v="71.599999999999994"/>
        <n v="71.7"/>
        <n v="71.8"/>
        <n v="71.900000000000006"/>
        <n v="72"/>
        <n v="72.099999999999994"/>
        <n v="72.2"/>
        <n v="72.3"/>
        <n v="72.400000000000006"/>
        <n v="72.5"/>
        <n v="72.599999999999994"/>
        <n v="72.7"/>
        <n v="72.8"/>
        <n v="72.900000000000006"/>
        <n v="73"/>
        <n v="73.099999999999994"/>
        <n v="73.2"/>
        <n v="73.3"/>
        <n v="73.400000000000006"/>
        <n v="73.5"/>
        <n v="73.7"/>
        <n v="73.8"/>
        <n v="73.900000000000006"/>
        <n v="74"/>
        <n v="74.099999999999994"/>
        <n v="74.2"/>
        <n v="74.3"/>
        <n v="74.400000000000006"/>
        <n v="74.5"/>
        <n v="74.599999999999994"/>
        <n v="74.7"/>
        <n v="74.8"/>
        <n v="74.900000000000006"/>
        <n v="75"/>
        <n v="75.099999999999994"/>
        <n v="75.2"/>
        <n v="75.3"/>
        <n v="75.400000000000006"/>
        <n v="75.5"/>
        <n v="75.599999999999994"/>
        <n v="75.7"/>
        <n v="75.8"/>
        <n v="75.900000000000006"/>
        <n v="76"/>
        <n v="76.099999999999994"/>
        <n v="76.2"/>
        <n v="76.3"/>
        <n v="76.400000000000006"/>
        <n v="76.5"/>
        <n v="76.599999999999994"/>
        <n v="76.7"/>
        <n v="76.8"/>
        <n v="76.900000000000006"/>
        <n v="77"/>
        <n v="77.099999999999994"/>
        <n v="77.2"/>
        <n v="77.3"/>
        <n v="77.400000000000006"/>
        <n v="77.5"/>
        <n v="77.7"/>
        <n v="77.8"/>
        <n v="77.900000000000006"/>
        <n v="78"/>
        <n v="78.099999999999994"/>
        <n v="78.2"/>
        <n v="78.3"/>
        <n v="78.5"/>
        <n v="78.599999999999994"/>
        <n v="78.7"/>
        <n v="78.8"/>
        <n v="78.900000000000006"/>
        <n v="79.099999999999994"/>
        <n v="79.2"/>
        <n v="79.3"/>
        <n v="79.400000000000006"/>
        <n v="79.5"/>
        <n v="79.599999999999994"/>
        <n v="79.7"/>
        <n v="79.8"/>
        <n v="79.900000000000006"/>
        <n v="80"/>
        <n v="80.099999999999994"/>
        <n v="80.2"/>
        <n v="80.3"/>
        <n v="80.400000000000006"/>
        <n v="80.5"/>
        <n v="80.599999999999994"/>
        <n v="80.7"/>
        <n v="80.8"/>
        <n v="80.900000000000006"/>
        <n v="81"/>
        <n v="81.099999999999994"/>
        <n v="81.2"/>
        <n v="81.3"/>
        <n v="81.400000000000006"/>
        <n v="81.5"/>
        <n v="81.599999999999994"/>
        <n v="81.7"/>
        <n v="81.8"/>
        <n v="81.900000000000006"/>
        <n v="82"/>
        <n v="82.1"/>
        <n v="82.2"/>
        <n v="82.3"/>
        <n v="82.5"/>
        <n v="82.8"/>
        <n v="82.9"/>
        <n v="83"/>
        <n v="83.1"/>
        <n v="83.2"/>
        <n v="83.3"/>
        <n v="83.4"/>
        <n v="83.5"/>
        <n v="83.6"/>
        <n v="83.7"/>
        <n v="83.8"/>
        <n v="83.9"/>
        <n v="84"/>
        <n v="84.1"/>
        <n v="84.2"/>
        <n v="84.3"/>
        <n v="84.4"/>
        <n v="84.5"/>
        <n v="84.6"/>
        <n v="84.8"/>
        <n v="84.9"/>
        <n v="85"/>
        <n v="85.1"/>
        <n v="85.2"/>
        <n v="85.3"/>
        <n v="85.4"/>
        <n v="85.5"/>
        <n v="85.6"/>
        <n v="85.7"/>
        <n v="85.9"/>
        <n v="86"/>
        <n v="86.1"/>
        <n v="86.2"/>
        <n v="86.3"/>
        <n v="86.4"/>
        <n v="86.5"/>
        <n v="86.6"/>
        <n v="86.7"/>
        <n v="86.8"/>
        <n v="86.9"/>
        <n v="87"/>
        <n v="87.1"/>
        <n v="87.2"/>
        <n v="87.3"/>
        <n v="87.4"/>
        <n v="87.5"/>
        <n v="87.6"/>
        <n v="87.7"/>
        <n v="87.8"/>
        <n v="87.9"/>
        <n v="88"/>
        <n v="88.1"/>
        <n v="88.2"/>
        <n v="88.3"/>
        <n v="88.4"/>
        <n v="88.5"/>
        <n v="88.6"/>
        <n v="88.7"/>
        <n v="88.8"/>
        <n v="88.9"/>
        <n v="89"/>
        <n v="89.1"/>
        <n v="89.2"/>
        <n v="89.3"/>
        <n v="89.4"/>
        <n v="89.5"/>
        <n v="89.8"/>
        <n v="89.9"/>
        <n v="90"/>
        <n v="90.1"/>
        <n v="90.2"/>
        <n v="90.3"/>
        <n v="90.4"/>
        <n v="90.5"/>
        <n v="90.6"/>
        <n v="90.7"/>
        <n v="90.8"/>
        <n v="90.9"/>
        <n v="91"/>
        <n v="91.1"/>
        <n v="91.2"/>
        <n v="91.3"/>
        <n v="91.4"/>
        <n v="91.5"/>
        <n v="91.6"/>
        <n v="91.7"/>
        <n v="91.8"/>
        <n v="91.9"/>
        <n v="92"/>
        <n v="92.1"/>
        <n v="92.2"/>
        <n v="92.3"/>
        <n v="92.4"/>
        <n v="92.5"/>
        <n v="92.6"/>
        <n v="92.8"/>
        <n v="93"/>
        <n v="93.1"/>
        <n v="93.2"/>
        <n v="93.3"/>
        <n v="93.4"/>
        <n v="93.5"/>
        <n v="93.6"/>
        <n v="93.7"/>
        <n v="93.8"/>
        <n v="93.9"/>
        <n v="94"/>
        <n v="94.1"/>
        <n v="94.2"/>
        <n v="94.3"/>
        <n v="94.4"/>
        <n v="94.5"/>
        <n v="94.6"/>
        <n v="94.7"/>
        <n v="94.8"/>
        <n v="95"/>
        <n v="95.4"/>
        <n v="95.8"/>
        <n v="95.9"/>
        <n v="96"/>
        <n v="96.1"/>
        <n v="96.4"/>
        <n v="96.7"/>
        <n v="96.8"/>
        <n v="96.9"/>
        <n v="97.1"/>
        <n v="97.3"/>
        <n v="97.4"/>
        <n v="97.6"/>
        <n v="97.7"/>
        <n v="97.9"/>
        <n v="98"/>
        <n v="98.2"/>
        <n v="98.4"/>
        <n v="98.9"/>
        <n v="99"/>
        <n v="99.1"/>
        <n v="99.7"/>
        <n v="99.9"/>
        <n v="100"/>
        <n v="100.1"/>
        <n v="100.3"/>
        <n v="100.4"/>
        <n v="100.5"/>
        <n v="100.7"/>
        <n v="101.1"/>
        <n v="101.2"/>
        <n v="101.5"/>
        <n v="101.6"/>
        <n v="103.3"/>
        <n v="106.9"/>
        <n v="108.5"/>
      </sharedItems>
    </cacheField>
    <cacheField name="[Measures].[Average of Customers]" caption="Average of Customers" numFmtId="0" hierarchy="19" level="32767"/>
    <cacheField name="[NAN1209 tblCompanyStores].[City].[City]" caption="City" numFmtId="0" hierarchy="11" level="1">
      <sharedItems containsSemiMixedTypes="0" containsNonDate="0" containsString="0"/>
    </cacheField>
  </cacheFields>
  <cacheHierarchies count="21">
    <cacheHierarchy uniqueName="[NAN1209 tblCompanySales].[Calendar]" caption="Calendar" defaultMemberUniqueName="[NAN1209 tblCompanySales].[Calendar].[All]" allUniqueName="[NAN1209 tblCompanySales].[Calendar].[All]" dimensionUniqueName="[NAN1209 tblCompanySales]" displayFolder="" count="4" unbalanced="0"/>
    <cacheHierarchy uniqueName="[NAN1209 tblCompanySales].[StoreID]" caption="StoreID" attribute="1" defaultMemberUniqueName="[NAN1209 tblCompanySales].[StoreID].[All]" allUniqueName="[NAN1209 tblCompanySales].[StoreID].[All]" dimensionUniqueName="[NAN1209 tblCompanySales]" displayFolder="" count="0" memberValueDatatype="130" unbalanced="0"/>
    <cacheHierarchy uniqueName="[NAN1209 tblCompanySales].[Date]" caption="Date" attribute="1" time="1" defaultMemberUniqueName="[NAN1209 tblCompanySales].[Date].[All]" allUniqueName="[NAN1209 tblCompanySales].[Date].[All]" dimensionUniqueName="[NAN1209 tblCompanySales]" displayFolder="" count="0" memberValueDatatype="7" unbalanced="0"/>
    <cacheHierarchy uniqueName="[NAN1209 tblCompanySales].[Year]" caption="Year" attribute="1" defaultMemberUniqueName="[NAN1209 tblCompanySales].[Year].[All]" allUniqueName="[NAN1209 tblCompanySales].[Year].[All]" dimensionUniqueName="[NAN1209 tblCompanySales]" displayFolder="" count="0" memberValueDatatype="20" unbalanced="0"/>
    <cacheHierarchy uniqueName="[NAN1209 tblCompanySales].[Month]" caption="Month" attribute="1" defaultMemberUniqueName="[NAN1209 tblCompanySales].[Month].[All]" allUniqueName="[NAN1209 tblCompanySales].[Month].[All]" dimensionUniqueName="[NAN1209 tblCompanySales]" displayFolder="" count="0" memberValueDatatype="130" unbalanced="0"/>
    <cacheHierarchy uniqueName="[NAN1209 tblCompanySales].[Weekday]" caption="Weekday" attribute="1" defaultMemberUniqueName="[NAN1209 tblCompanySales].[Weekday].[All]" allUniqueName="[NAN1209 tblCompanySales].[Weekday].[All]" dimensionUniqueName="[NAN1209 tblCompanySales]" displayFolder="" count="0" memberValueDatatype="130" unbalanced="0"/>
    <cacheHierarchy uniqueName="[NAN1209 tblCompanySales].[HighTemp]" caption="HighTemp" attribute="1" defaultMemberUniqueName="[NAN1209 tblCompanySales].[HighTemp].[All]" allUniqueName="[NAN1209 tblCompanySales].[HighTemp].[All]" dimensionUniqueName="[NAN1209 tblCompanySales]" displayFolder="" count="2" memberValueDatatype="5" unbalanced="0">
      <fieldsUsage count="2">
        <fieldUsage x="-1"/>
        <fieldUsage x="0"/>
      </fieldsUsage>
    </cacheHierarchy>
    <cacheHierarchy uniqueName="[NAN1209 tblCompanySales].[Rainy]" caption="Rainy" attribute="1" defaultMemberUniqueName="[NAN1209 tblCompanySales].[Rainy].[All]" allUniqueName="[NAN1209 tblCompanySales].[Rainy].[All]" dimensionUniqueName="[NAN1209 tblCompanySales]" displayFolder="" count="0" memberValueDatatype="130" unbalanced="0"/>
    <cacheHierarchy uniqueName="[NAN1209 tblCompanySales].[Customers]" caption="Customers" attribute="1" defaultMemberUniqueName="[NAN1209 tblCompanySales].[Customers].[All]" allUniqueName="[NAN1209 tblCompanySales].[Customers].[All]" dimensionUniqueName="[NAN1209 tblCompanySales]" displayFolder="" count="0" memberValueDatatype="20" unbalanced="0"/>
    <cacheHierarchy uniqueName="[NAN1209 tblCompanyStores].[StoreID]" caption="StoreID" attribute="1" defaultMemberUniqueName="[NAN1209 tblCompanyStores].[StoreID].[All]" allUniqueName="[NAN1209 tblCompanyStores].[StoreID].[All]" dimensionUniqueName="[NAN1209 tblCompanyStores]" displayFolder="" count="0" memberValueDatatype="130" unbalanced="0"/>
    <cacheHierarchy uniqueName="[NAN1209 tblCompanyStores].[Address]" caption="Address" attribute="1" defaultMemberUniqueName="[NAN1209 tblCompanyStores].[Address].[All]" allUniqueName="[NAN1209 tblCompanyStores].[Address].[All]" dimensionUniqueName="[NAN1209 tblCompanyStores]" displayFolder="" count="0" memberValueDatatype="130" unbalanced="0"/>
    <cacheHierarchy uniqueName="[NAN1209 tblCompanyStores].[City]" caption="City" attribute="1" defaultMemberUniqueName="[NAN1209 tblCompanyStores].[City].[All]" allUniqueName="[NAN1209 tblCompanyStores].[City].[All]" dimensionUniqueName="[NAN1209 tblCompanyStores]" displayFolder="" count="2" memberValueDatatype="130" unbalanced="0">
      <fieldsUsage count="2">
        <fieldUsage x="-1"/>
        <fieldUsage x="2"/>
      </fieldsUsage>
    </cacheHierarchy>
    <cacheHierarchy uniqueName="[NAN1209 tblCompanyStores].[County]" caption="County" attribute="1" defaultMemberUniqueName="[NAN1209 tblCompanyStores].[County].[All]" allUniqueName="[NAN1209 tblCompanyStores].[County].[All]" dimensionUniqueName="[NAN1209 tblCompanyStores]" displayFolder="" count="0" memberValueDatatype="130" unbalanced="0"/>
    <cacheHierarchy uniqueName="[NAN1209 tblCompanyStores].[State]" caption="State" attribute="1" defaultMemberUniqueName="[NAN1209 tblCompanyStores].[State].[All]" allUniqueName="[NAN1209 tblCompanyStores].[State].[All]" dimensionUniqueName="[NAN1209 tblCompanyStores]" displayFolder="" count="0" memberValueDatatype="130" unbalanced="0"/>
    <cacheHierarchy uniqueName="[NAN1209 tblCompanyStores].[PostalCode]" caption="PostalCode" attribute="1" defaultMemberUniqueName="[NAN1209 tblCompanyStores].[PostalCode].[All]" allUniqueName="[NAN1209 tblCompanyStores].[PostalCode].[All]" dimensionUniqueName="[NAN1209 tblCompanyStores]" displayFolder="" count="0" memberValueDatatype="20" unbalanced="0"/>
    <cacheHierarchy uniqueName="[Measures].[__XL_Count NAN1209 tblCompanySales]" caption="__XL_Count NAN1209 tblCompanySales" measure="1" displayFolder="" measureGroup="NAN1209 tblCompanySales" count="0" hidden="1"/>
    <cacheHierarchy uniqueName="[Measures].[__XL_Count NAN1209 tblCompanyStores]" caption="__XL_Count NAN1209 tblCompanyStores" measure="1" displayFolder="" measureGroup="NAN1209 tblCompanyStores" count="0" hidden="1"/>
    <cacheHierarchy uniqueName="[Measures].[__No measures defined]" caption="__No measures defined" measure="1" displayFolder="" count="0" hidden="1"/>
    <cacheHierarchy uniqueName="[Measures].[Sum of Customers]" caption="Sum of Customers" measure="1" displayFolder="" measureGroup="NAN1209 tblCompanySales" count="0" hidden="1">
      <extLst>
        <ext xmlns:x15="http://schemas.microsoft.com/office/spreadsheetml/2010/11/main" uri="{B97F6D7D-B522-45F9-BDA1-12C45D357490}">
          <x15:cacheHierarchy aggregatedColumn="8"/>
        </ext>
      </extLst>
    </cacheHierarchy>
    <cacheHierarchy uniqueName="[Measures].[Average of Customers]" caption="Average of Customers" measure="1" displayFolder="" measureGroup="NAN1209 tblCompany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HighTemp]" caption="Sum of HighTemp" measure="1" displayFolder="" measureGroup="NAN1209 tblCompanySales"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NAN1209 tblCompanySales" uniqueName="[NAN1209 tblCompanySales]" caption="NAN1209 tblCompanySales"/>
    <dimension name="NAN1209 tblCompanyStores" uniqueName="[NAN1209 tblCompanyStores]" caption="NAN1209 tblCompanyStores"/>
  </dimensions>
  <measureGroups count="2">
    <measureGroup name="NAN1209 tblCompanySales" caption="NAN1209 tblCompanySales"/>
    <measureGroup name="NAN1209 tblCompanyStores" caption="NAN1209 tblCompanyStore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 Nuri" refreshedDate="45781.699539236113" backgroundQuery="1" createdVersion="3" refreshedVersion="8" minRefreshableVersion="3" recordCount="0" supportSubquery="1" supportAdvancedDrill="1" xr:uid="{B95B2670-309A-4AEB-B900-2BF3465D5A2D}">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Measures]" caption="Measures" attribute="1" keyAttribute="1" defaultMemberUniqueName="[Measures].[__No measures defined]" dimensionUniqueName="[Measures]" displayFolder="" measures="1" count="1" memberValueDatatype="130" unbalanced="0"/>
    <cacheHierarchy uniqueName="[NAN1209 tblCompanySales].[Calendar]" caption="Calendar" defaultMemberUniqueName="[NAN1209 tblCompanySales].[Calendar].[All]" allUniqueName="[NAN1209 tblCompanySales].[Calendar].[All]" dimensionUniqueName="[NAN1209 tblCompanySales]" displayFolder="" count="4" unbalanced="0"/>
    <cacheHierarchy uniqueName="[NAN1209 tblCompanySales].[StoreID]" caption="StoreID" attribute="1" defaultMemberUniqueName="[NAN1209 tblCompanySales].[StoreID].[All]" allUniqueName="[NAN1209 tblCompanySales].[StoreID].[All]" dimensionUniqueName="[NAN1209 tblCompanySales]" displayFolder="" count="2" memberValueDatatype="130" unbalanced="0"/>
    <cacheHierarchy uniqueName="[NAN1209 tblCompanySales].[Date]" caption="Date" attribute="1" time="1" defaultMemberUniqueName="[NAN1209 tblCompanySales].[Date].[All]" allUniqueName="[NAN1209 tblCompanySales].[Date].[All]" dimensionUniqueName="[NAN1209 tblCompanySales]" displayFolder="" count="2" memberValueDatatype="7" unbalanced="0"/>
    <cacheHierarchy uniqueName="[NAN1209 tblCompanySales].[Year]" caption="Year" attribute="1" defaultMemberUniqueName="[NAN1209 tblCompanySales].[Year].[All]" allUniqueName="[NAN1209 tblCompanySales].[Year].[All]" dimensionUniqueName="[NAN1209 tblCompanySales]" displayFolder="" count="2" memberValueDatatype="20" unbalanced="0"/>
    <cacheHierarchy uniqueName="[NAN1209 tblCompanySales].[Month]" caption="Month" attribute="1" defaultMemberUniqueName="[NAN1209 tblCompanySales].[Month].[All]" allUniqueName="[NAN1209 tblCompanySales].[Month].[All]" dimensionUniqueName="[NAN1209 tblCompanySales]" displayFolder="" count="2" memberValueDatatype="130" unbalanced="0"/>
    <cacheHierarchy uniqueName="[NAN1209 tblCompanySales].[Weekday]" caption="Weekday" attribute="1" defaultMemberUniqueName="[NAN1209 tblCompanySales].[Weekday].[All]" allUniqueName="[NAN1209 tblCompanySales].[Weekday].[All]" dimensionUniqueName="[NAN1209 tblCompanySales]" displayFolder="" count="2" memberValueDatatype="130" unbalanced="0"/>
    <cacheHierarchy uniqueName="[NAN1209 tblCompanySales].[HighTemp]" caption="HighTemp" attribute="1" defaultMemberUniqueName="[NAN1209 tblCompanySales].[HighTemp].[All]" allUniqueName="[NAN1209 tblCompanySales].[HighTemp].[All]" dimensionUniqueName="[NAN1209 tblCompanySales]" displayFolder="" count="2" memberValueDatatype="5" unbalanced="0"/>
    <cacheHierarchy uniqueName="[NAN1209 tblCompanySales].[Rainy]" caption="Rainy" attribute="1" defaultMemberUniqueName="[NAN1209 tblCompanySales].[Rainy].[All]" allUniqueName="[NAN1209 tblCompanySales].[Rainy].[All]" dimensionUniqueName="[NAN1209 tblCompanySales]" displayFolder="" count="2" memberValueDatatype="130" unbalanced="0"/>
    <cacheHierarchy uniqueName="[NAN1209 tblCompanySales].[Customers]" caption="Customers" attribute="1" defaultMemberUniqueName="[NAN1209 tblCompanySales].[Customers].[All]" allUniqueName="[NAN1209 tblCompanySales].[Customers].[All]" dimensionUniqueName="[NAN1209 tblCompanySales]" displayFolder="" count="2" memberValueDatatype="20" unbalanced="0"/>
    <cacheHierarchy uniqueName="[NAN1209 tblCompanyStores].[StoreID]" caption="StoreID" attribute="1" defaultMemberUniqueName="[NAN1209 tblCompanyStores].[StoreID].[All]" allUniqueName="[NAN1209 tblCompanyStores].[StoreID].[All]" dimensionUniqueName="[NAN1209 tblCompanyStores]" displayFolder="" count="2" memberValueDatatype="130" unbalanced="0"/>
    <cacheHierarchy uniqueName="[NAN1209 tblCompanyStores].[Address]" caption="Address" attribute="1" defaultMemberUniqueName="[NAN1209 tblCompanyStores].[Address].[All]" allUniqueName="[NAN1209 tblCompanyStores].[Address].[All]" dimensionUniqueName="[NAN1209 tblCompanyStores]" displayFolder="" count="2" memberValueDatatype="130" unbalanced="0"/>
    <cacheHierarchy uniqueName="[NAN1209 tblCompanyStores].[City]" caption="City" attribute="1" defaultMemberUniqueName="[NAN1209 tblCompanyStores].[City].[All]" allUniqueName="[NAN1209 tblCompanyStores].[City].[All]" dimensionUniqueName="[NAN1209 tblCompanyStores]" displayFolder="" count="2" memberValueDatatype="130" unbalanced="0"/>
    <cacheHierarchy uniqueName="[NAN1209 tblCompanyStores].[County]" caption="County" attribute="1" defaultMemberUniqueName="[NAN1209 tblCompanyStores].[County].[All]" allUniqueName="[NAN1209 tblCompanyStores].[County].[All]" dimensionUniqueName="[NAN1209 tblCompanyStores]" displayFolder="" count="2" memberValueDatatype="130" unbalanced="0"/>
    <cacheHierarchy uniqueName="[NAN1209 tblCompanyStores].[State]" caption="State" attribute="1" defaultMemberUniqueName="[NAN1209 tblCompanyStores].[State].[All]" allUniqueName="[NAN1209 tblCompanyStores].[State].[All]" dimensionUniqueName="[NAN1209 tblCompanyStores]" displayFolder="" count="2" memberValueDatatype="130" unbalanced="0"/>
    <cacheHierarchy uniqueName="[NAN1209 tblCompanyStores].[PostalCode]" caption="PostalCode" attribute="1" defaultMemberUniqueName="[NAN1209 tblCompanyStores].[PostalCode].[All]" allUniqueName="[NAN1209 tblCompanyStores].[PostalCode].[All]" dimensionUniqueName="[NAN1209 tblCompanyStores]" displayFolder="" count="2" memberValueDatatype="20" unbalanced="0"/>
    <cacheHierarchy uniqueName="[Measures].[__XL_Count NAN1209 tblCompanySales]" caption="__XL_Count NAN1209 tblCompanySales" measure="1" displayFolder="" measureGroup="NAN1209 tblCompanySales" count="0" hidden="1"/>
    <cacheHierarchy uniqueName="[Measures].[__XL_Count NAN1209 tblCompanyStores]" caption="__XL_Count NAN1209 tblCompanyStores" measure="1" displayFolder="" measureGroup="NAN1209 tblCompanyStores" count="0" hidden="1"/>
    <cacheHierarchy uniqueName="[Measures].[__No measures defined]" caption="__No measures defined" measure="1" displayFolder="" count="0" hidden="1"/>
    <cacheHierarchy uniqueName="[Measures].[Sum of Customers]" caption="Sum of Customers" measure="1" displayFolder="" measureGroup="NAN1209 tblCompanySales" count="0" hidden="1">
      <extLst>
        <ext xmlns:x15="http://schemas.microsoft.com/office/spreadsheetml/2010/11/main" uri="{B97F6D7D-B522-45F9-BDA1-12C45D357490}">
          <x15:cacheHierarchy aggregatedColumn="9"/>
        </ext>
      </extLst>
    </cacheHierarchy>
    <cacheHierarchy uniqueName="[Measures].[Average of Customers]" caption="Average of Customers" measure="1" displayFolder="" measureGroup="NAN1209 tblCompanySales" count="0" hidden="1">
      <extLst>
        <ext xmlns:x15="http://schemas.microsoft.com/office/spreadsheetml/2010/11/main" uri="{B97F6D7D-B522-45F9-BDA1-12C45D357490}">
          <x15:cacheHierarchy aggregatedColumn="9"/>
        </ext>
      </extLst>
    </cacheHierarchy>
    <cacheHierarchy uniqueName="[Measures].[Sum of HighTemp]" caption="Sum of HighTemp" measure="1" displayFolder="" measureGroup="NAN1209 tblCompanySales"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NAN1209 tblCompanySales" uniqueName="[NAN1209 tblCompanySales]" caption="NAN1209 tblCompanySales"/>
    <dimension name="NAN1209 tblCompanyStores" uniqueName="[NAN1209 tblCompanyStores]" caption="NAN1209 tblCompanyStores"/>
  </dimensions>
  <measureGroups count="2">
    <measureGroup name="NAN1209 tblCompanySales" caption="NAN1209 tblCompanySales"/>
    <measureGroup name="NAN1209 tblCompanyStores" caption="NAN1209 tblCompanyStores"/>
  </measureGroups>
  <maps count="3">
    <map measureGroup="0" dimension="1"/>
    <map measureGroup="0" dimension="2"/>
    <map measureGroup="1" dimension="2"/>
  </maps>
  <extLst>
    <ext xmlns:x14="http://schemas.microsoft.com/office/spreadsheetml/2009/9/main" uri="{725AE2AE-9491-48be-B2B4-4EB974FC3084}">
      <x14:pivotCacheDefinition slicerData="1" pivotCacheId="4109257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4B9C3C-D56E-4384-B9BD-21C4E385EBE8}" name="Customer Calendar" cacheId="60" applyNumberFormats="0" applyBorderFormats="0" applyFontFormats="0" applyPatternFormats="0" applyAlignmentFormats="0" applyWidthHeightFormats="1" dataCaption="Values" tag="0158135f-386a-49c7-a2bf-41a90fdcec0f" updatedVersion="8" minRefreshableVersion="3" useAutoFormatting="1" subtotalHiddenItems="1" itemPrintTitles="1" createdVersion="8" indent="0" outline="1" outlineData="1" multipleFieldFilters="0" chartFormat="9">
  <location ref="B4:C8" firstHeaderRow="1" firstDataRow="1" firstDataCol="1"/>
  <pivotFields count="5">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Customers" fld="3" subtotal="average" baseField="0" baseItem="0" numFmtId="1"/>
  </dataFields>
  <chartFormats count="1">
    <chartFormat chart="6" format="1" series="1">
      <pivotArea type="data" outline="0" fieldPosition="0">
        <references count="1">
          <reference field="4294967294" count="1" selected="0">
            <x v="0"/>
          </reference>
        </references>
      </pivotArea>
    </chartFormat>
  </chartFormats>
  <pivotHierarchies count="2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AN1209 tblCompanyStores].[City].&amp;[Ventura]"/>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Customers"/>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AN1209 tblCompanySales]"/>
        <x15:activeTabTopLevelEntity name="[NAN1209 tblCompany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893897-1B3F-4361-B77E-99CBD0CE383A}" name="Rain Table" cacheId="63" applyNumberFormats="0" applyBorderFormats="0" applyFontFormats="0" applyPatternFormats="0" applyAlignmentFormats="0" applyWidthHeightFormats="1" dataCaption="Values" tag="f8d53ae5-162c-4e3f-975b-9e4e723ff19c" updatedVersion="8" minRefreshableVersion="3" useAutoFormatting="1" subtotalHiddenItems="1" itemPrintTitles="1" createdVersion="8" indent="0" outline="1" outlineData="1" multipleFieldFilters="0" chartFormat="6">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Customers" fld="1" subtotal="average" baseField="0" baseItem="0" numFmtId="1"/>
  </dataFields>
  <chartFormats count="1">
    <chartFormat chart="5" format="1" series="1">
      <pivotArea type="data" outline="0" fieldPosition="0">
        <references count="1">
          <reference field="4294967294" count="1" selected="0">
            <x v="0"/>
          </reference>
        </references>
      </pivotArea>
    </chartFormat>
  </chartFormats>
  <pivotHierarchies count="2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AN1209 tblCompanyStores].[City].&amp;[Ventura]"/>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Customers"/>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AN1209 tblCompanySales]"/>
        <x15:activeTabTopLevelEntity name="[NAN1209 tblCompany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53CE05-7992-4613-B99D-EF762A40E2B2}" name="Temperature Table" cacheId="66" applyNumberFormats="0" applyBorderFormats="0" applyFontFormats="0" applyPatternFormats="0" applyAlignmentFormats="0" applyWidthHeightFormats="1" dataCaption="Values" tag="13894d30-d13f-42af-88ab-893b1dd004f3" updatedVersion="8" minRefreshableVersion="3" useAutoFormatting="1" subtotalHiddenItems="1" itemPrintTitles="1" createdVersion="8" indent="0" outline="1" outlineData="1" multipleFieldFilters="0">
  <location ref="B4:C380" firstHeaderRow="1" firstDataRow="1" firstDataCol="1"/>
  <pivotFields count="3">
    <pivotField axis="axisRow" allDrilled="1" subtotalTop="0" showAll="0" dataSourceSort="1" defaultSubtotal="0" defaultAttributeDrillState="1">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s>
    </pivotField>
    <pivotField dataField="1" subtotalTop="0" showAll="0" defaultSubtotal="0"/>
    <pivotField allDrilled="1" subtotalTop="0" showAll="0" dataSourceSort="1" defaultSubtotal="0" defaultAttributeDrillState="1"/>
  </pivotFields>
  <rowFields count="1">
    <field x="0"/>
  </rowFields>
  <rowItems count="3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t="grand">
      <x/>
    </i>
  </rowItems>
  <colItems count="1">
    <i/>
  </colItems>
  <dataFields count="1">
    <dataField name="Average of Customers" fld="1" subtotal="average" baseField="0" baseItem="0" numFmtId="1"/>
  </dataFields>
  <pivotHierarchies count="2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AN1209 tblCompanyStores].[City].&amp;[Ventura]"/>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Customers"/>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AN1209 tblCompanySales]"/>
        <x15:activeTabTopLevelEntity name="[NAN1209 tblCompany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C008BA5-CDC1-488D-BCAF-A5EF4F2CC46F}" sourceName="[NAN1209 tblCompanyStores].[City]">
  <pivotTables>
    <pivotTable tabId="21" name="Customer Calendar"/>
    <pivotTable tabId="22" name="Rain Table"/>
    <pivotTable tabId="23" name="Temperature Table"/>
  </pivotTables>
  <data>
    <olap pivotCacheId="410925753">
      <levels count="2">
        <level uniqueName="[NAN1209 tblCompanyStores].[City].[(All)]" sourceCaption="(All)" count="0"/>
        <level uniqueName="[NAN1209 tblCompanyStores].[City].[City]" sourceCaption="City" count="20">
          <ranges>
            <range startItem="0">
              <i n="[NAN1209 tblCompanyStores].[City].&amp;[Bakersfield]" c="Bakersfield"/>
              <i n="[NAN1209 tblCompanyStores].[City].&amp;[Chula Vista]" c="Chula Vista"/>
              <i n="[NAN1209 tblCompanyStores].[City].&amp;[Fresno]" c="Fresno"/>
              <i n="[NAN1209 tblCompanyStores].[City].&amp;[Hollister]" c="Hollister"/>
              <i n="[NAN1209 tblCompanyStores].[City].&amp;[Huntington Beach]" c="Huntington Beach"/>
              <i n="[NAN1209 tblCompanyStores].[City].&amp;[La Jolla]" c="La Jolla"/>
              <i n="[NAN1209 tblCompanyStores].[City].&amp;[Long Beach]" c="Long Beach"/>
              <i n="[NAN1209 tblCompanyStores].[City].&amp;[Los Angeles]" c="Los Angeles"/>
              <i n="[NAN1209 tblCompanyStores].[City].&amp;[Malibu]" c="Malibu"/>
              <i n="[NAN1209 tblCompanyStores].[City].&amp;[Monterey]" c="Monterey"/>
              <i n="[NAN1209 tblCompanyStores].[City].&amp;[Palo Alto]" c="Palo Alto"/>
              <i n="[NAN1209 tblCompanyStores].[City].&amp;[Pomona]" c="Pomona"/>
              <i n="[NAN1209 tblCompanyStores].[City].&amp;[Sacramento]" c="Sacramento"/>
              <i n="[NAN1209 tblCompanyStores].[City].&amp;[San Bernardino]" c="San Bernardino"/>
              <i n="[NAN1209 tblCompanyStores].[City].&amp;[San Luis Obispo]" c="San Luis Obispo"/>
              <i n="[NAN1209 tblCompanyStores].[City].&amp;[Santa Barbara]" c="Santa Barbara"/>
              <i n="[NAN1209 tblCompanyStores].[City].&amp;[Santa Cruz]" c="Santa Cruz"/>
              <i n="[NAN1209 tblCompanyStores].[City].&amp;[Santa Rosa]" c="Santa Rosa"/>
              <i n="[NAN1209 tblCompanyStores].[City].&amp;[Valencia]" c="Valencia"/>
              <i n="[NAN1209 tblCompanyStores].[City].&amp;[Ventura]" c="Ventura"/>
            </range>
          </ranges>
        </level>
      </levels>
      <selections count="1">
        <selection n="[NAN1209 tblCompanyStores].[City].&amp;[Ventur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CDC4206-12B8-49A7-9E83-A69FAB5AC00F}" cache="Slicer_City" caption="City" columnCount="4" level="1" rowHeight="241300"/>
</slicers>
</file>

<file path=xl/theme/theme1.xml><?xml version="1.0" encoding="utf-8"?>
<a:theme xmlns:a="http://schemas.openxmlformats.org/drawingml/2006/main" name="Retrospect">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A9F8-36CA-4FC0-ACEB-4D5BCE12823A}">
  <dimension ref="A1:B5"/>
  <sheetViews>
    <sheetView zoomScale="120" zoomScaleNormal="120" workbookViewId="0">
      <selection activeCell="B4" sqref="B4"/>
    </sheetView>
  </sheetViews>
  <sheetFormatPr defaultRowHeight="15" x14ac:dyDescent="0.25"/>
  <cols>
    <col min="2" max="2" width="44.5703125" customWidth="1"/>
  </cols>
  <sheetData>
    <row r="1" spans="1:2" ht="34.5" x14ac:dyDescent="0.45">
      <c r="A1" s="8" t="s">
        <v>17</v>
      </c>
    </row>
    <row r="3" spans="1:2" x14ac:dyDescent="0.25">
      <c r="A3" s="5" t="s">
        <v>0</v>
      </c>
      <c r="B3" s="6" t="s">
        <v>52</v>
      </c>
    </row>
    <row r="4" spans="1:2" x14ac:dyDescent="0.25">
      <c r="A4" s="5" t="s">
        <v>1</v>
      </c>
      <c r="B4" s="7">
        <v>45781</v>
      </c>
    </row>
    <row r="5" spans="1:2" ht="30" x14ac:dyDescent="0.25">
      <c r="A5" s="5" t="s">
        <v>2</v>
      </c>
      <c r="B5" s="6" t="s">
        <v>42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D9F0-485F-4ADE-8BE8-8E03578ECBE0}">
  <dimension ref="B1:B2"/>
  <sheetViews>
    <sheetView topLeftCell="A4" zoomScale="80" zoomScaleNormal="80" workbookViewId="0">
      <selection activeCell="R2" sqref="R2"/>
    </sheetView>
  </sheetViews>
  <sheetFormatPr defaultRowHeight="15" x14ac:dyDescent="0.25"/>
  <cols>
    <col min="1" max="1" width="1.85546875" customWidth="1"/>
    <col min="2" max="6" width="8.7109375" customWidth="1"/>
    <col min="7" max="7" width="9.140625" customWidth="1"/>
    <col min="10" max="10" width="3.28515625" customWidth="1"/>
  </cols>
  <sheetData>
    <row r="1" spans="2:2" ht="34.5" x14ac:dyDescent="0.45">
      <c r="B1" s="8" t="s">
        <v>17</v>
      </c>
    </row>
    <row r="2" spans="2:2" ht="18.75" x14ac:dyDescent="0.3">
      <c r="B2" s="9" t="s">
        <v>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5CDC-6B41-4EBA-A8BF-0585579FA1BB}">
  <dimension ref="B1:C8"/>
  <sheetViews>
    <sheetView zoomScale="120" zoomScaleNormal="120" workbookViewId="0">
      <selection activeCell="B6" sqref="B5:B7"/>
    </sheetView>
  </sheetViews>
  <sheetFormatPr defaultRowHeight="15" x14ac:dyDescent="0.25"/>
  <cols>
    <col min="1" max="1" width="1.85546875" customWidth="1"/>
    <col min="2" max="2" width="13.140625" bestFit="1" customWidth="1"/>
    <col min="3" max="3" width="21.140625" bestFit="1" customWidth="1"/>
    <col min="4" max="7" width="9.140625" customWidth="1"/>
  </cols>
  <sheetData>
    <row r="1" spans="2:3" ht="34.5" x14ac:dyDescent="0.45">
      <c r="B1" s="8" t="s">
        <v>17</v>
      </c>
    </row>
    <row r="2" spans="2:3" ht="18.75" x14ac:dyDescent="0.3">
      <c r="B2" s="9" t="s">
        <v>18</v>
      </c>
    </row>
    <row r="4" spans="2:3" x14ac:dyDescent="0.25">
      <c r="B4" s="16" t="s">
        <v>53</v>
      </c>
      <c r="C4" t="s">
        <v>55</v>
      </c>
    </row>
    <row r="5" spans="2:3" x14ac:dyDescent="0.25">
      <c r="B5" s="17">
        <v>2019</v>
      </c>
      <c r="C5" s="18">
        <v>208.93424657534246</v>
      </c>
    </row>
    <row r="6" spans="2:3" x14ac:dyDescent="0.25">
      <c r="B6" s="17">
        <v>2020</v>
      </c>
      <c r="C6" s="18">
        <v>218.70491803278688</v>
      </c>
    </row>
    <row r="7" spans="2:3" x14ac:dyDescent="0.25">
      <c r="B7" s="17">
        <v>2021</v>
      </c>
      <c r="C7" s="18">
        <v>230.57808219178082</v>
      </c>
    </row>
    <row r="8" spans="2:3" x14ac:dyDescent="0.25">
      <c r="B8" s="17" t="s">
        <v>54</v>
      </c>
      <c r="C8" s="18">
        <v>219.40510948905109</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87380-64C9-469B-A1D0-CD49208032EF}">
  <dimension ref="B1:C6"/>
  <sheetViews>
    <sheetView zoomScale="120" zoomScaleNormal="120" workbookViewId="0">
      <selection activeCell="C5" sqref="C5"/>
    </sheetView>
  </sheetViews>
  <sheetFormatPr defaultRowHeight="15" x14ac:dyDescent="0.25"/>
  <cols>
    <col min="1" max="1" width="1.85546875" customWidth="1"/>
    <col min="2" max="2" width="13.7109375" bestFit="1" customWidth="1"/>
    <col min="3" max="3" width="21.140625" bestFit="1" customWidth="1"/>
    <col min="4" max="5" width="5.42578125" bestFit="1" customWidth="1"/>
    <col min="6" max="6" width="11.5703125" bestFit="1" customWidth="1"/>
    <col min="7" max="7" width="9.140625" customWidth="1"/>
  </cols>
  <sheetData>
    <row r="1" spans="2:3" ht="34.5" x14ac:dyDescent="0.45">
      <c r="B1" s="8" t="s">
        <v>17</v>
      </c>
    </row>
    <row r="2" spans="2:3" ht="18.75" x14ac:dyDescent="0.3">
      <c r="B2" s="9" t="s">
        <v>20</v>
      </c>
    </row>
    <row r="3" spans="2:3" x14ac:dyDescent="0.25">
      <c r="B3" s="16" t="s">
        <v>53</v>
      </c>
      <c r="C3" t="s">
        <v>55</v>
      </c>
    </row>
    <row r="4" spans="2:3" x14ac:dyDescent="0.25">
      <c r="B4" s="17" t="s">
        <v>56</v>
      </c>
      <c r="C4" s="18">
        <v>146.26277372262774</v>
      </c>
    </row>
    <row r="5" spans="2:3" x14ac:dyDescent="0.25">
      <c r="B5" s="17" t="s">
        <v>57</v>
      </c>
      <c r="C5" s="18">
        <v>229.85401459854015</v>
      </c>
    </row>
    <row r="6" spans="2:3" x14ac:dyDescent="0.25">
      <c r="B6" s="17" t="s">
        <v>54</v>
      </c>
      <c r="C6" s="18">
        <v>219.40510948905109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21EF-1319-4197-9C06-9FD834E2D7A4}">
  <dimension ref="B1:G380"/>
  <sheetViews>
    <sheetView zoomScale="120" zoomScaleNormal="120" workbookViewId="0">
      <selection activeCell="C5" sqref="C5"/>
    </sheetView>
  </sheetViews>
  <sheetFormatPr defaultRowHeight="15" x14ac:dyDescent="0.25"/>
  <cols>
    <col min="1" max="1" width="1.85546875" customWidth="1"/>
    <col min="2" max="2" width="13.140625" bestFit="1" customWidth="1"/>
    <col min="3" max="4" width="21.140625" bestFit="1" customWidth="1"/>
    <col min="5" max="5" width="11" bestFit="1" customWidth="1"/>
    <col min="6" max="6" width="11.5703125" bestFit="1" customWidth="1"/>
    <col min="7" max="7" width="9.140625" customWidth="1"/>
  </cols>
  <sheetData>
    <row r="1" spans="2:7" ht="34.5" x14ac:dyDescent="0.45">
      <c r="B1" s="8" t="s">
        <v>17</v>
      </c>
    </row>
    <row r="2" spans="2:7" ht="18.75" x14ac:dyDescent="0.3">
      <c r="B2" s="9" t="s">
        <v>21</v>
      </c>
    </row>
    <row r="3" spans="2:7" x14ac:dyDescent="0.25">
      <c r="F3" t="str">
        <f>B4</f>
        <v>Row Labels</v>
      </c>
      <c r="G3" t="str">
        <f>C4</f>
        <v>Average of Customers</v>
      </c>
    </row>
    <row r="4" spans="2:7" x14ac:dyDescent="0.25">
      <c r="B4" s="16" t="s">
        <v>53</v>
      </c>
      <c r="C4" t="s">
        <v>55</v>
      </c>
      <c r="F4">
        <f>B5</f>
        <v>54.1</v>
      </c>
      <c r="G4" s="18">
        <f>C5</f>
        <v>72</v>
      </c>
    </row>
    <row r="5" spans="2:7" x14ac:dyDescent="0.25">
      <c r="B5" s="17">
        <v>54.1</v>
      </c>
      <c r="C5" s="18">
        <v>72</v>
      </c>
      <c r="F5">
        <f t="shared" ref="F5:F68" si="0">B6</f>
        <v>55.7</v>
      </c>
      <c r="G5" s="18">
        <f t="shared" ref="G5:G68" si="1">C6</f>
        <v>72</v>
      </c>
    </row>
    <row r="6" spans="2:7" x14ac:dyDescent="0.25">
      <c r="B6" s="17">
        <v>55.7</v>
      </c>
      <c r="C6" s="18">
        <v>72</v>
      </c>
      <c r="F6">
        <f t="shared" si="0"/>
        <v>55.9</v>
      </c>
      <c r="G6" s="18">
        <f t="shared" si="1"/>
        <v>98</v>
      </c>
    </row>
    <row r="7" spans="2:7" x14ac:dyDescent="0.25">
      <c r="B7" s="17">
        <v>55.9</v>
      </c>
      <c r="C7" s="18">
        <v>98</v>
      </c>
      <c r="F7">
        <f t="shared" si="0"/>
        <v>56.7</v>
      </c>
      <c r="G7" s="18">
        <f t="shared" si="1"/>
        <v>114</v>
      </c>
    </row>
    <row r="8" spans="2:7" x14ac:dyDescent="0.25">
      <c r="B8" s="17">
        <v>56.7</v>
      </c>
      <c r="C8" s="18">
        <v>114</v>
      </c>
      <c r="F8">
        <f t="shared" si="0"/>
        <v>57.1</v>
      </c>
      <c r="G8" s="18">
        <f t="shared" si="1"/>
        <v>109.5</v>
      </c>
    </row>
    <row r="9" spans="2:7" x14ac:dyDescent="0.25">
      <c r="B9" s="17">
        <v>57.1</v>
      </c>
      <c r="C9" s="18">
        <v>109.5</v>
      </c>
      <c r="F9">
        <f t="shared" si="0"/>
        <v>57.2</v>
      </c>
      <c r="G9" s="18">
        <f t="shared" si="1"/>
        <v>122</v>
      </c>
    </row>
    <row r="10" spans="2:7" x14ac:dyDescent="0.25">
      <c r="B10" s="17">
        <v>57.2</v>
      </c>
      <c r="C10" s="18">
        <v>122</v>
      </c>
      <c r="F10">
        <f t="shared" si="0"/>
        <v>57.3</v>
      </c>
      <c r="G10" s="18">
        <f t="shared" si="1"/>
        <v>123</v>
      </c>
    </row>
    <row r="11" spans="2:7" x14ac:dyDescent="0.25">
      <c r="B11" s="17">
        <v>57.3</v>
      </c>
      <c r="C11" s="18">
        <v>123</v>
      </c>
      <c r="F11">
        <f t="shared" si="0"/>
        <v>57.4</v>
      </c>
      <c r="G11" s="18">
        <f t="shared" si="1"/>
        <v>83</v>
      </c>
    </row>
    <row r="12" spans="2:7" x14ac:dyDescent="0.25">
      <c r="B12" s="17">
        <v>57.4</v>
      </c>
      <c r="C12" s="18">
        <v>83</v>
      </c>
      <c r="F12">
        <f t="shared" si="0"/>
        <v>57.5</v>
      </c>
      <c r="G12" s="18">
        <f t="shared" si="1"/>
        <v>77</v>
      </c>
    </row>
    <row r="13" spans="2:7" x14ac:dyDescent="0.25">
      <c r="B13" s="17">
        <v>57.5</v>
      </c>
      <c r="C13" s="18">
        <v>77</v>
      </c>
      <c r="F13">
        <f t="shared" si="0"/>
        <v>58</v>
      </c>
      <c r="G13" s="18">
        <f t="shared" si="1"/>
        <v>92</v>
      </c>
    </row>
    <row r="14" spans="2:7" x14ac:dyDescent="0.25">
      <c r="B14" s="17">
        <v>58</v>
      </c>
      <c r="C14" s="18">
        <v>92</v>
      </c>
      <c r="F14">
        <f t="shared" si="0"/>
        <v>58.2</v>
      </c>
      <c r="G14" s="18">
        <f t="shared" si="1"/>
        <v>89</v>
      </c>
    </row>
    <row r="15" spans="2:7" x14ac:dyDescent="0.25">
      <c r="B15" s="17">
        <v>58.2</v>
      </c>
      <c r="C15" s="18">
        <v>89</v>
      </c>
      <c r="F15">
        <f t="shared" si="0"/>
        <v>58.7</v>
      </c>
      <c r="G15" s="18">
        <f t="shared" si="1"/>
        <v>115</v>
      </c>
    </row>
    <row r="16" spans="2:7" x14ac:dyDescent="0.25">
      <c r="B16" s="17">
        <v>58.7</v>
      </c>
      <c r="C16" s="18">
        <v>115</v>
      </c>
      <c r="F16">
        <f t="shared" si="0"/>
        <v>58.8</v>
      </c>
      <c r="G16" s="18">
        <f t="shared" si="1"/>
        <v>91</v>
      </c>
    </row>
    <row r="17" spans="2:7" x14ac:dyDescent="0.25">
      <c r="B17" s="17">
        <v>58.8</v>
      </c>
      <c r="C17" s="18">
        <v>91</v>
      </c>
      <c r="F17">
        <f t="shared" si="0"/>
        <v>59</v>
      </c>
      <c r="G17" s="18">
        <f t="shared" si="1"/>
        <v>107</v>
      </c>
    </row>
    <row r="18" spans="2:7" x14ac:dyDescent="0.25">
      <c r="B18" s="17">
        <v>59</v>
      </c>
      <c r="C18" s="18">
        <v>107</v>
      </c>
      <c r="F18">
        <f t="shared" si="0"/>
        <v>59.2</v>
      </c>
      <c r="G18" s="18">
        <f t="shared" si="1"/>
        <v>92</v>
      </c>
    </row>
    <row r="19" spans="2:7" x14ac:dyDescent="0.25">
      <c r="B19" s="17">
        <v>59.2</v>
      </c>
      <c r="C19" s="18">
        <v>92</v>
      </c>
      <c r="F19">
        <f t="shared" si="0"/>
        <v>59.4</v>
      </c>
      <c r="G19" s="18">
        <f t="shared" si="1"/>
        <v>86</v>
      </c>
    </row>
    <row r="20" spans="2:7" x14ac:dyDescent="0.25">
      <c r="B20" s="17">
        <v>59.4</v>
      </c>
      <c r="C20" s="18">
        <v>86</v>
      </c>
      <c r="F20">
        <f t="shared" si="0"/>
        <v>59.5</v>
      </c>
      <c r="G20" s="18">
        <f t="shared" si="1"/>
        <v>77</v>
      </c>
    </row>
    <row r="21" spans="2:7" x14ac:dyDescent="0.25">
      <c r="B21" s="17">
        <v>59.5</v>
      </c>
      <c r="C21" s="18">
        <v>77</v>
      </c>
      <c r="F21">
        <f t="shared" si="0"/>
        <v>59.6</v>
      </c>
      <c r="G21" s="18">
        <f t="shared" si="1"/>
        <v>102</v>
      </c>
    </row>
    <row r="22" spans="2:7" x14ac:dyDescent="0.25">
      <c r="B22" s="17">
        <v>59.6</v>
      </c>
      <c r="C22" s="18">
        <v>102</v>
      </c>
      <c r="F22">
        <f t="shared" si="0"/>
        <v>59.9</v>
      </c>
      <c r="G22" s="18">
        <f t="shared" si="1"/>
        <v>139</v>
      </c>
    </row>
    <row r="23" spans="2:7" x14ac:dyDescent="0.25">
      <c r="B23" s="17">
        <v>59.9</v>
      </c>
      <c r="C23" s="18">
        <v>139</v>
      </c>
      <c r="F23">
        <f t="shared" si="0"/>
        <v>60</v>
      </c>
      <c r="G23" s="18">
        <f t="shared" si="1"/>
        <v>107.5</v>
      </c>
    </row>
    <row r="24" spans="2:7" x14ac:dyDescent="0.25">
      <c r="B24" s="17">
        <v>60</v>
      </c>
      <c r="C24" s="18">
        <v>107.5</v>
      </c>
      <c r="F24">
        <f t="shared" si="0"/>
        <v>60.2</v>
      </c>
      <c r="G24" s="18">
        <f t="shared" si="1"/>
        <v>152</v>
      </c>
    </row>
    <row r="25" spans="2:7" x14ac:dyDescent="0.25">
      <c r="B25" s="17">
        <v>60.2</v>
      </c>
      <c r="C25" s="18">
        <v>152</v>
      </c>
      <c r="F25">
        <f t="shared" si="0"/>
        <v>60.3</v>
      </c>
      <c r="G25" s="18">
        <f t="shared" si="1"/>
        <v>131</v>
      </c>
    </row>
    <row r="26" spans="2:7" x14ac:dyDescent="0.25">
      <c r="B26" s="17">
        <v>60.3</v>
      </c>
      <c r="C26" s="18">
        <v>131</v>
      </c>
      <c r="F26">
        <f t="shared" si="0"/>
        <v>60.6</v>
      </c>
      <c r="G26" s="18">
        <f t="shared" si="1"/>
        <v>178</v>
      </c>
    </row>
    <row r="27" spans="2:7" x14ac:dyDescent="0.25">
      <c r="B27" s="17">
        <v>60.6</v>
      </c>
      <c r="C27" s="18">
        <v>178</v>
      </c>
      <c r="F27">
        <f t="shared" si="0"/>
        <v>61</v>
      </c>
      <c r="G27" s="18">
        <f t="shared" si="1"/>
        <v>110</v>
      </c>
    </row>
    <row r="28" spans="2:7" x14ac:dyDescent="0.25">
      <c r="B28" s="17">
        <v>61</v>
      </c>
      <c r="C28" s="18">
        <v>110</v>
      </c>
      <c r="F28">
        <f t="shared" si="0"/>
        <v>61.4</v>
      </c>
      <c r="G28" s="18">
        <f t="shared" si="1"/>
        <v>141.25</v>
      </c>
    </row>
    <row r="29" spans="2:7" x14ac:dyDescent="0.25">
      <c r="B29" s="17">
        <v>61.4</v>
      </c>
      <c r="C29" s="18">
        <v>141.25</v>
      </c>
      <c r="F29">
        <f t="shared" si="0"/>
        <v>61.9</v>
      </c>
      <c r="G29" s="18">
        <f t="shared" si="1"/>
        <v>185</v>
      </c>
    </row>
    <row r="30" spans="2:7" x14ac:dyDescent="0.25">
      <c r="B30" s="17">
        <v>61.9</v>
      </c>
      <c r="C30" s="18">
        <v>185</v>
      </c>
      <c r="F30">
        <f t="shared" si="0"/>
        <v>62</v>
      </c>
      <c r="G30" s="18">
        <f t="shared" si="1"/>
        <v>127.33333333333333</v>
      </c>
    </row>
    <row r="31" spans="2:7" x14ac:dyDescent="0.25">
      <c r="B31" s="17">
        <v>62</v>
      </c>
      <c r="C31" s="18">
        <v>127.33333333333333</v>
      </c>
      <c r="F31">
        <f t="shared" si="0"/>
        <v>62.1</v>
      </c>
      <c r="G31" s="18">
        <f t="shared" si="1"/>
        <v>101</v>
      </c>
    </row>
    <row r="32" spans="2:7" x14ac:dyDescent="0.25">
      <c r="B32" s="17">
        <v>62.1</v>
      </c>
      <c r="C32" s="18">
        <v>101</v>
      </c>
      <c r="F32">
        <f t="shared" si="0"/>
        <v>62.2</v>
      </c>
      <c r="G32" s="18">
        <f t="shared" si="1"/>
        <v>148</v>
      </c>
    </row>
    <row r="33" spans="2:7" x14ac:dyDescent="0.25">
      <c r="B33" s="17">
        <v>62.2</v>
      </c>
      <c r="C33" s="18">
        <v>148</v>
      </c>
      <c r="F33">
        <f t="shared" si="0"/>
        <v>62.4</v>
      </c>
      <c r="G33" s="18">
        <f t="shared" si="1"/>
        <v>121</v>
      </c>
    </row>
    <row r="34" spans="2:7" x14ac:dyDescent="0.25">
      <c r="B34" s="17">
        <v>62.4</v>
      </c>
      <c r="C34" s="18">
        <v>121</v>
      </c>
      <c r="F34">
        <f t="shared" si="0"/>
        <v>62.5</v>
      </c>
      <c r="G34" s="18">
        <f t="shared" si="1"/>
        <v>142.25</v>
      </c>
    </row>
    <row r="35" spans="2:7" x14ac:dyDescent="0.25">
      <c r="B35" s="17">
        <v>62.5</v>
      </c>
      <c r="C35" s="18">
        <v>142.25</v>
      </c>
      <c r="F35">
        <f t="shared" si="0"/>
        <v>62.6</v>
      </c>
      <c r="G35" s="18">
        <f t="shared" si="1"/>
        <v>115.66666666666667</v>
      </c>
    </row>
    <row r="36" spans="2:7" x14ac:dyDescent="0.25">
      <c r="B36" s="17">
        <v>62.6</v>
      </c>
      <c r="C36" s="18">
        <v>115.66666666666667</v>
      </c>
      <c r="F36">
        <f t="shared" si="0"/>
        <v>62.7</v>
      </c>
      <c r="G36" s="18">
        <f t="shared" si="1"/>
        <v>135.66666666666666</v>
      </c>
    </row>
    <row r="37" spans="2:7" x14ac:dyDescent="0.25">
      <c r="B37" s="17">
        <v>62.7</v>
      </c>
      <c r="C37" s="18">
        <v>135.66666666666666</v>
      </c>
      <c r="F37">
        <f t="shared" si="0"/>
        <v>62.8</v>
      </c>
      <c r="G37" s="18">
        <f t="shared" si="1"/>
        <v>137.33333333333334</v>
      </c>
    </row>
    <row r="38" spans="2:7" x14ac:dyDescent="0.25">
      <c r="B38" s="17">
        <v>62.8</v>
      </c>
      <c r="C38" s="18">
        <v>137.33333333333334</v>
      </c>
      <c r="F38">
        <f t="shared" si="0"/>
        <v>62.9</v>
      </c>
      <c r="G38" s="18">
        <f t="shared" si="1"/>
        <v>140.5</v>
      </c>
    </row>
    <row r="39" spans="2:7" x14ac:dyDescent="0.25">
      <c r="B39" s="17">
        <v>62.9</v>
      </c>
      <c r="C39" s="18">
        <v>140.5</v>
      </c>
      <c r="F39">
        <f t="shared" si="0"/>
        <v>63</v>
      </c>
      <c r="G39" s="18">
        <f t="shared" si="1"/>
        <v>183</v>
      </c>
    </row>
    <row r="40" spans="2:7" x14ac:dyDescent="0.25">
      <c r="B40" s="17">
        <v>63</v>
      </c>
      <c r="C40" s="18">
        <v>183</v>
      </c>
      <c r="F40">
        <f t="shared" si="0"/>
        <v>63.1</v>
      </c>
      <c r="G40" s="18">
        <f t="shared" si="1"/>
        <v>168</v>
      </c>
    </row>
    <row r="41" spans="2:7" x14ac:dyDescent="0.25">
      <c r="B41" s="17">
        <v>63.1</v>
      </c>
      <c r="C41" s="18">
        <v>168</v>
      </c>
      <c r="F41">
        <f t="shared" si="0"/>
        <v>63.2</v>
      </c>
      <c r="G41" s="18">
        <f t="shared" si="1"/>
        <v>150</v>
      </c>
    </row>
    <row r="42" spans="2:7" x14ac:dyDescent="0.25">
      <c r="B42" s="17">
        <v>63.2</v>
      </c>
      <c r="C42" s="18">
        <v>150</v>
      </c>
      <c r="F42">
        <f t="shared" si="0"/>
        <v>63.3</v>
      </c>
      <c r="G42" s="18">
        <f t="shared" si="1"/>
        <v>139</v>
      </c>
    </row>
    <row r="43" spans="2:7" x14ac:dyDescent="0.25">
      <c r="B43" s="17">
        <v>63.3</v>
      </c>
      <c r="C43" s="18">
        <v>139</v>
      </c>
      <c r="F43">
        <f t="shared" si="0"/>
        <v>63.4</v>
      </c>
      <c r="G43" s="18">
        <f t="shared" si="1"/>
        <v>105</v>
      </c>
    </row>
    <row r="44" spans="2:7" x14ac:dyDescent="0.25">
      <c r="B44" s="17">
        <v>63.4</v>
      </c>
      <c r="C44" s="18">
        <v>105</v>
      </c>
      <c r="F44">
        <f t="shared" si="0"/>
        <v>63.5</v>
      </c>
      <c r="G44" s="18">
        <f t="shared" si="1"/>
        <v>130.75</v>
      </c>
    </row>
    <row r="45" spans="2:7" x14ac:dyDescent="0.25">
      <c r="B45" s="17">
        <v>63.5</v>
      </c>
      <c r="C45" s="18">
        <v>130.75</v>
      </c>
      <c r="F45">
        <f t="shared" si="0"/>
        <v>63.6</v>
      </c>
      <c r="G45" s="18">
        <f t="shared" si="1"/>
        <v>148</v>
      </c>
    </row>
    <row r="46" spans="2:7" x14ac:dyDescent="0.25">
      <c r="B46" s="17">
        <v>63.6</v>
      </c>
      <c r="C46" s="18">
        <v>148</v>
      </c>
      <c r="F46">
        <f t="shared" si="0"/>
        <v>63.7</v>
      </c>
      <c r="G46" s="18">
        <f t="shared" si="1"/>
        <v>194.33333333333334</v>
      </c>
    </row>
    <row r="47" spans="2:7" x14ac:dyDescent="0.25">
      <c r="B47" s="17">
        <v>63.7</v>
      </c>
      <c r="C47" s="18">
        <v>194.33333333333334</v>
      </c>
      <c r="F47">
        <f t="shared" si="0"/>
        <v>63.9</v>
      </c>
      <c r="G47" s="18">
        <f t="shared" si="1"/>
        <v>143.5</v>
      </c>
    </row>
    <row r="48" spans="2:7" x14ac:dyDescent="0.25">
      <c r="B48" s="17">
        <v>63.9</v>
      </c>
      <c r="C48" s="18">
        <v>143.5</v>
      </c>
      <c r="F48">
        <f t="shared" si="0"/>
        <v>64</v>
      </c>
      <c r="G48" s="18">
        <f t="shared" si="1"/>
        <v>171</v>
      </c>
    </row>
    <row r="49" spans="2:7" x14ac:dyDescent="0.25">
      <c r="B49" s="17">
        <v>64</v>
      </c>
      <c r="C49" s="18">
        <v>171</v>
      </c>
      <c r="F49">
        <f t="shared" si="0"/>
        <v>64.099999999999994</v>
      </c>
      <c r="G49" s="18">
        <f t="shared" si="1"/>
        <v>122.5</v>
      </c>
    </row>
    <row r="50" spans="2:7" x14ac:dyDescent="0.25">
      <c r="B50" s="17">
        <v>64.099999999999994</v>
      </c>
      <c r="C50" s="18">
        <v>122.5</v>
      </c>
      <c r="F50">
        <f t="shared" si="0"/>
        <v>64.2</v>
      </c>
      <c r="G50" s="18">
        <f t="shared" si="1"/>
        <v>168</v>
      </c>
    </row>
    <row r="51" spans="2:7" x14ac:dyDescent="0.25">
      <c r="B51" s="17">
        <v>64.2</v>
      </c>
      <c r="C51" s="18">
        <v>168</v>
      </c>
      <c r="F51">
        <f t="shared" si="0"/>
        <v>64.3</v>
      </c>
      <c r="G51" s="18">
        <f t="shared" si="1"/>
        <v>222</v>
      </c>
    </row>
    <row r="52" spans="2:7" x14ac:dyDescent="0.25">
      <c r="B52" s="17">
        <v>64.3</v>
      </c>
      <c r="C52" s="18">
        <v>222</v>
      </c>
      <c r="F52">
        <f t="shared" si="0"/>
        <v>64.400000000000006</v>
      </c>
      <c r="G52" s="18">
        <f t="shared" si="1"/>
        <v>121.66666666666667</v>
      </c>
    </row>
    <row r="53" spans="2:7" x14ac:dyDescent="0.25">
      <c r="B53" s="17">
        <v>64.400000000000006</v>
      </c>
      <c r="C53" s="18">
        <v>121.66666666666667</v>
      </c>
      <c r="F53">
        <f t="shared" si="0"/>
        <v>64.5</v>
      </c>
      <c r="G53" s="18">
        <f t="shared" si="1"/>
        <v>163.5</v>
      </c>
    </row>
    <row r="54" spans="2:7" x14ac:dyDescent="0.25">
      <c r="B54" s="17">
        <v>64.5</v>
      </c>
      <c r="C54" s="18">
        <v>163.5</v>
      </c>
      <c r="F54">
        <f t="shared" si="0"/>
        <v>64.599999999999994</v>
      </c>
      <c r="G54" s="18">
        <f t="shared" si="1"/>
        <v>137</v>
      </c>
    </row>
    <row r="55" spans="2:7" x14ac:dyDescent="0.25">
      <c r="B55" s="17">
        <v>64.599999999999994</v>
      </c>
      <c r="C55" s="18">
        <v>137</v>
      </c>
      <c r="F55">
        <f t="shared" si="0"/>
        <v>64.7</v>
      </c>
      <c r="G55" s="18">
        <f t="shared" si="1"/>
        <v>180</v>
      </c>
    </row>
    <row r="56" spans="2:7" x14ac:dyDescent="0.25">
      <c r="B56" s="17">
        <v>64.7</v>
      </c>
      <c r="C56" s="18">
        <v>180</v>
      </c>
      <c r="F56">
        <f t="shared" si="0"/>
        <v>64.8</v>
      </c>
      <c r="G56" s="18">
        <f t="shared" si="1"/>
        <v>132.33333333333334</v>
      </c>
    </row>
    <row r="57" spans="2:7" x14ac:dyDescent="0.25">
      <c r="B57" s="17">
        <v>64.8</v>
      </c>
      <c r="C57" s="18">
        <v>132.33333333333334</v>
      </c>
      <c r="F57">
        <f t="shared" si="0"/>
        <v>64.900000000000006</v>
      </c>
      <c r="G57" s="18">
        <f t="shared" si="1"/>
        <v>125.66666666666667</v>
      </c>
    </row>
    <row r="58" spans="2:7" x14ac:dyDescent="0.25">
      <c r="B58" s="17">
        <v>64.900000000000006</v>
      </c>
      <c r="C58" s="18">
        <v>125.66666666666667</v>
      </c>
      <c r="F58">
        <f t="shared" si="0"/>
        <v>65</v>
      </c>
      <c r="G58" s="18">
        <f t="shared" si="1"/>
        <v>128.66666666666666</v>
      </c>
    </row>
    <row r="59" spans="2:7" x14ac:dyDescent="0.25">
      <c r="B59" s="17">
        <v>65</v>
      </c>
      <c r="C59" s="18">
        <v>128.66666666666666</v>
      </c>
      <c r="F59">
        <f t="shared" si="0"/>
        <v>65.099999999999994</v>
      </c>
      <c r="G59" s="18">
        <f t="shared" si="1"/>
        <v>148.5</v>
      </c>
    </row>
    <row r="60" spans="2:7" x14ac:dyDescent="0.25">
      <c r="B60" s="17">
        <v>65.099999999999994</v>
      </c>
      <c r="C60" s="18">
        <v>148.5</v>
      </c>
      <c r="F60">
        <f t="shared" si="0"/>
        <v>65.3</v>
      </c>
      <c r="G60" s="18">
        <f t="shared" si="1"/>
        <v>157</v>
      </c>
    </row>
    <row r="61" spans="2:7" x14ac:dyDescent="0.25">
      <c r="B61" s="17">
        <v>65.3</v>
      </c>
      <c r="C61" s="18">
        <v>157</v>
      </c>
      <c r="F61">
        <f t="shared" si="0"/>
        <v>65.400000000000006</v>
      </c>
      <c r="G61" s="18">
        <f t="shared" si="1"/>
        <v>119.33333333333333</v>
      </c>
    </row>
    <row r="62" spans="2:7" x14ac:dyDescent="0.25">
      <c r="B62" s="17">
        <v>65.400000000000006</v>
      </c>
      <c r="C62" s="18">
        <v>119.33333333333333</v>
      </c>
      <c r="F62">
        <f t="shared" si="0"/>
        <v>65.5</v>
      </c>
      <c r="G62" s="18">
        <f t="shared" si="1"/>
        <v>177.375</v>
      </c>
    </row>
    <row r="63" spans="2:7" x14ac:dyDescent="0.25">
      <c r="B63" s="17">
        <v>65.5</v>
      </c>
      <c r="C63" s="18">
        <v>177.375</v>
      </c>
      <c r="F63">
        <f t="shared" si="0"/>
        <v>65.599999999999994</v>
      </c>
      <c r="G63" s="18">
        <f t="shared" si="1"/>
        <v>167</v>
      </c>
    </row>
    <row r="64" spans="2:7" x14ac:dyDescent="0.25">
      <c r="B64" s="17">
        <v>65.599999999999994</v>
      </c>
      <c r="C64" s="18">
        <v>167</v>
      </c>
      <c r="F64">
        <f t="shared" si="0"/>
        <v>65.7</v>
      </c>
      <c r="G64" s="18">
        <f t="shared" si="1"/>
        <v>193</v>
      </c>
    </row>
    <row r="65" spans="2:7" x14ac:dyDescent="0.25">
      <c r="B65" s="17">
        <v>65.7</v>
      </c>
      <c r="C65" s="18">
        <v>193</v>
      </c>
      <c r="F65">
        <f t="shared" si="0"/>
        <v>65.8</v>
      </c>
      <c r="G65" s="18">
        <f t="shared" si="1"/>
        <v>161.66666666666666</v>
      </c>
    </row>
    <row r="66" spans="2:7" x14ac:dyDescent="0.25">
      <c r="B66" s="17">
        <v>65.8</v>
      </c>
      <c r="C66" s="18">
        <v>161.66666666666666</v>
      </c>
      <c r="F66">
        <f t="shared" si="0"/>
        <v>65.900000000000006</v>
      </c>
      <c r="G66" s="18">
        <f t="shared" si="1"/>
        <v>128.25</v>
      </c>
    </row>
    <row r="67" spans="2:7" x14ac:dyDescent="0.25">
      <c r="B67" s="17">
        <v>65.900000000000006</v>
      </c>
      <c r="C67" s="18">
        <v>128.25</v>
      </c>
      <c r="F67">
        <f t="shared" si="0"/>
        <v>66</v>
      </c>
      <c r="G67" s="18">
        <f t="shared" si="1"/>
        <v>142</v>
      </c>
    </row>
    <row r="68" spans="2:7" x14ac:dyDescent="0.25">
      <c r="B68" s="17">
        <v>66</v>
      </c>
      <c r="C68" s="18">
        <v>142</v>
      </c>
      <c r="F68">
        <f t="shared" si="0"/>
        <v>66.099999999999994</v>
      </c>
      <c r="G68" s="18">
        <f t="shared" si="1"/>
        <v>156</v>
      </c>
    </row>
    <row r="69" spans="2:7" x14ac:dyDescent="0.25">
      <c r="B69" s="17">
        <v>66.099999999999994</v>
      </c>
      <c r="C69" s="18">
        <v>156</v>
      </c>
      <c r="F69">
        <f t="shared" ref="F69:F132" si="2">B70</f>
        <v>66.2</v>
      </c>
      <c r="G69" s="18">
        <f t="shared" ref="G69:G132" si="3">C70</f>
        <v>171</v>
      </c>
    </row>
    <row r="70" spans="2:7" x14ac:dyDescent="0.25">
      <c r="B70" s="17">
        <v>66.2</v>
      </c>
      <c r="C70" s="18">
        <v>171</v>
      </c>
      <c r="F70">
        <f t="shared" si="2"/>
        <v>66.3</v>
      </c>
      <c r="G70" s="18">
        <f t="shared" si="3"/>
        <v>117</v>
      </c>
    </row>
    <row r="71" spans="2:7" x14ac:dyDescent="0.25">
      <c r="B71" s="17">
        <v>66.3</v>
      </c>
      <c r="C71" s="18">
        <v>117</v>
      </c>
      <c r="F71">
        <f t="shared" si="2"/>
        <v>66.400000000000006</v>
      </c>
      <c r="G71" s="18">
        <f t="shared" si="3"/>
        <v>117</v>
      </c>
    </row>
    <row r="72" spans="2:7" x14ac:dyDescent="0.25">
      <c r="B72" s="17">
        <v>66.400000000000006</v>
      </c>
      <c r="C72" s="18">
        <v>117</v>
      </c>
      <c r="F72">
        <f t="shared" si="2"/>
        <v>66.5</v>
      </c>
      <c r="G72" s="18">
        <f t="shared" si="3"/>
        <v>167.66666666666666</v>
      </c>
    </row>
    <row r="73" spans="2:7" x14ac:dyDescent="0.25">
      <c r="B73" s="17">
        <v>66.5</v>
      </c>
      <c r="C73" s="18">
        <v>167.66666666666666</v>
      </c>
      <c r="F73">
        <f t="shared" si="2"/>
        <v>66.599999999999994</v>
      </c>
      <c r="G73" s="18">
        <f t="shared" si="3"/>
        <v>135.5</v>
      </c>
    </row>
    <row r="74" spans="2:7" x14ac:dyDescent="0.25">
      <c r="B74" s="17">
        <v>66.599999999999994</v>
      </c>
      <c r="C74" s="18">
        <v>135.5</v>
      </c>
      <c r="F74">
        <f t="shared" si="2"/>
        <v>66.7</v>
      </c>
      <c r="G74" s="18">
        <f t="shared" si="3"/>
        <v>230</v>
      </c>
    </row>
    <row r="75" spans="2:7" x14ac:dyDescent="0.25">
      <c r="B75" s="17">
        <v>66.7</v>
      </c>
      <c r="C75" s="18">
        <v>230</v>
      </c>
      <c r="F75">
        <f t="shared" si="2"/>
        <v>66.8</v>
      </c>
      <c r="G75" s="18">
        <f t="shared" si="3"/>
        <v>149.5</v>
      </c>
    </row>
    <row r="76" spans="2:7" x14ac:dyDescent="0.25">
      <c r="B76" s="17">
        <v>66.8</v>
      </c>
      <c r="C76" s="18">
        <v>149.5</v>
      </c>
      <c r="F76">
        <f t="shared" si="2"/>
        <v>66.900000000000006</v>
      </c>
      <c r="G76" s="18">
        <f t="shared" si="3"/>
        <v>146.19999999999999</v>
      </c>
    </row>
    <row r="77" spans="2:7" x14ac:dyDescent="0.25">
      <c r="B77" s="17">
        <v>66.900000000000006</v>
      </c>
      <c r="C77" s="18">
        <v>146.19999999999999</v>
      </c>
      <c r="F77">
        <f t="shared" si="2"/>
        <v>67</v>
      </c>
      <c r="G77" s="18">
        <f t="shared" si="3"/>
        <v>138</v>
      </c>
    </row>
    <row r="78" spans="2:7" x14ac:dyDescent="0.25">
      <c r="B78" s="17">
        <v>67</v>
      </c>
      <c r="C78" s="18">
        <v>138</v>
      </c>
      <c r="F78">
        <f t="shared" si="2"/>
        <v>67.099999999999994</v>
      </c>
      <c r="G78" s="18">
        <f t="shared" si="3"/>
        <v>139.25</v>
      </c>
    </row>
    <row r="79" spans="2:7" x14ac:dyDescent="0.25">
      <c r="B79" s="17">
        <v>67.099999999999994</v>
      </c>
      <c r="C79" s="18">
        <v>139.25</v>
      </c>
      <c r="F79">
        <f t="shared" si="2"/>
        <v>67.2</v>
      </c>
      <c r="G79" s="18">
        <f t="shared" si="3"/>
        <v>167</v>
      </c>
    </row>
    <row r="80" spans="2:7" x14ac:dyDescent="0.25">
      <c r="B80" s="17">
        <v>67.2</v>
      </c>
      <c r="C80" s="18">
        <v>167</v>
      </c>
      <c r="F80">
        <f t="shared" si="2"/>
        <v>67.3</v>
      </c>
      <c r="G80" s="18">
        <f t="shared" si="3"/>
        <v>149</v>
      </c>
    </row>
    <row r="81" spans="2:7" x14ac:dyDescent="0.25">
      <c r="B81" s="17">
        <v>67.3</v>
      </c>
      <c r="C81" s="18">
        <v>149</v>
      </c>
      <c r="F81">
        <f t="shared" si="2"/>
        <v>67.400000000000006</v>
      </c>
      <c r="G81" s="18">
        <f t="shared" si="3"/>
        <v>119</v>
      </c>
    </row>
    <row r="82" spans="2:7" x14ac:dyDescent="0.25">
      <c r="B82" s="17">
        <v>67.400000000000006</v>
      </c>
      <c r="C82" s="18">
        <v>119</v>
      </c>
      <c r="F82">
        <f t="shared" si="2"/>
        <v>67.5</v>
      </c>
      <c r="G82" s="18">
        <f t="shared" si="3"/>
        <v>132</v>
      </c>
    </row>
    <row r="83" spans="2:7" x14ac:dyDescent="0.25">
      <c r="B83" s="17">
        <v>67.5</v>
      </c>
      <c r="C83" s="18">
        <v>132</v>
      </c>
      <c r="F83">
        <f t="shared" si="2"/>
        <v>67.599999999999994</v>
      </c>
      <c r="G83" s="18">
        <f t="shared" si="3"/>
        <v>145.66666666666666</v>
      </c>
    </row>
    <row r="84" spans="2:7" x14ac:dyDescent="0.25">
      <c r="B84" s="17">
        <v>67.599999999999994</v>
      </c>
      <c r="C84" s="18">
        <v>145.66666666666666</v>
      </c>
      <c r="F84">
        <f t="shared" si="2"/>
        <v>67.7</v>
      </c>
      <c r="G84" s="18">
        <f t="shared" si="3"/>
        <v>130</v>
      </c>
    </row>
    <row r="85" spans="2:7" x14ac:dyDescent="0.25">
      <c r="B85" s="17">
        <v>67.7</v>
      </c>
      <c r="C85" s="18">
        <v>130</v>
      </c>
      <c r="F85">
        <f t="shared" si="2"/>
        <v>67.8</v>
      </c>
      <c r="G85" s="18">
        <f t="shared" si="3"/>
        <v>197.33333333333334</v>
      </c>
    </row>
    <row r="86" spans="2:7" x14ac:dyDescent="0.25">
      <c r="B86" s="17">
        <v>67.8</v>
      </c>
      <c r="C86" s="18">
        <v>197.33333333333334</v>
      </c>
      <c r="F86">
        <f t="shared" si="2"/>
        <v>67.900000000000006</v>
      </c>
      <c r="G86" s="18">
        <f t="shared" si="3"/>
        <v>177.2</v>
      </c>
    </row>
    <row r="87" spans="2:7" x14ac:dyDescent="0.25">
      <c r="B87" s="17">
        <v>67.900000000000006</v>
      </c>
      <c r="C87" s="18">
        <v>177.2</v>
      </c>
      <c r="F87">
        <f t="shared" si="2"/>
        <v>68</v>
      </c>
      <c r="G87" s="18">
        <f t="shared" si="3"/>
        <v>154.33333333333334</v>
      </c>
    </row>
    <row r="88" spans="2:7" x14ac:dyDescent="0.25">
      <c r="B88" s="17">
        <v>68</v>
      </c>
      <c r="C88" s="18">
        <v>154.33333333333334</v>
      </c>
      <c r="F88">
        <f t="shared" si="2"/>
        <v>68.099999999999994</v>
      </c>
      <c r="G88" s="18">
        <f t="shared" si="3"/>
        <v>171</v>
      </c>
    </row>
    <row r="89" spans="2:7" x14ac:dyDescent="0.25">
      <c r="B89" s="17">
        <v>68.099999999999994</v>
      </c>
      <c r="C89" s="18">
        <v>171</v>
      </c>
      <c r="F89">
        <f t="shared" si="2"/>
        <v>68.2</v>
      </c>
      <c r="G89" s="18">
        <f t="shared" si="3"/>
        <v>105</v>
      </c>
    </row>
    <row r="90" spans="2:7" x14ac:dyDescent="0.25">
      <c r="B90" s="17">
        <v>68.2</v>
      </c>
      <c r="C90" s="18">
        <v>105</v>
      </c>
      <c r="F90">
        <f t="shared" si="2"/>
        <v>68.3</v>
      </c>
      <c r="G90" s="18">
        <f t="shared" si="3"/>
        <v>159</v>
      </c>
    </row>
    <row r="91" spans="2:7" x14ac:dyDescent="0.25">
      <c r="B91" s="17">
        <v>68.3</v>
      </c>
      <c r="C91" s="18">
        <v>159</v>
      </c>
      <c r="F91">
        <f t="shared" si="2"/>
        <v>68.400000000000006</v>
      </c>
      <c r="G91" s="18">
        <f t="shared" si="3"/>
        <v>139</v>
      </c>
    </row>
    <row r="92" spans="2:7" x14ac:dyDescent="0.25">
      <c r="B92" s="17">
        <v>68.400000000000006</v>
      </c>
      <c r="C92" s="18">
        <v>139</v>
      </c>
      <c r="F92">
        <f t="shared" si="2"/>
        <v>68.5</v>
      </c>
      <c r="G92" s="18">
        <f t="shared" si="3"/>
        <v>162</v>
      </c>
    </row>
    <row r="93" spans="2:7" x14ac:dyDescent="0.25">
      <c r="B93" s="17">
        <v>68.5</v>
      </c>
      <c r="C93" s="18">
        <v>162</v>
      </c>
      <c r="F93">
        <f t="shared" si="2"/>
        <v>68.599999999999994</v>
      </c>
      <c r="G93" s="18">
        <f t="shared" si="3"/>
        <v>153.80000000000001</v>
      </c>
    </row>
    <row r="94" spans="2:7" x14ac:dyDescent="0.25">
      <c r="B94" s="17">
        <v>68.599999999999994</v>
      </c>
      <c r="C94" s="18">
        <v>153.80000000000001</v>
      </c>
      <c r="F94">
        <f t="shared" si="2"/>
        <v>68.7</v>
      </c>
      <c r="G94" s="18">
        <f t="shared" si="3"/>
        <v>147</v>
      </c>
    </row>
    <row r="95" spans="2:7" x14ac:dyDescent="0.25">
      <c r="B95" s="17">
        <v>68.7</v>
      </c>
      <c r="C95" s="18">
        <v>147</v>
      </c>
      <c r="F95">
        <f t="shared" si="2"/>
        <v>68.8</v>
      </c>
      <c r="G95" s="18">
        <f t="shared" si="3"/>
        <v>145.88888888888889</v>
      </c>
    </row>
    <row r="96" spans="2:7" x14ac:dyDescent="0.25">
      <c r="B96" s="17">
        <v>68.8</v>
      </c>
      <c r="C96" s="18">
        <v>145.88888888888889</v>
      </c>
      <c r="F96">
        <f t="shared" si="2"/>
        <v>68.900000000000006</v>
      </c>
      <c r="G96" s="18">
        <f t="shared" si="3"/>
        <v>121</v>
      </c>
    </row>
    <row r="97" spans="2:7" x14ac:dyDescent="0.25">
      <c r="B97" s="17">
        <v>68.900000000000006</v>
      </c>
      <c r="C97" s="18">
        <v>121</v>
      </c>
      <c r="F97">
        <f t="shared" si="2"/>
        <v>69</v>
      </c>
      <c r="G97" s="18">
        <f t="shared" si="3"/>
        <v>153</v>
      </c>
    </row>
    <row r="98" spans="2:7" x14ac:dyDescent="0.25">
      <c r="B98" s="17">
        <v>69</v>
      </c>
      <c r="C98" s="18">
        <v>153</v>
      </c>
      <c r="F98">
        <f t="shared" si="2"/>
        <v>69.099999999999994</v>
      </c>
      <c r="G98" s="18">
        <f t="shared" si="3"/>
        <v>134.5</v>
      </c>
    </row>
    <row r="99" spans="2:7" x14ac:dyDescent="0.25">
      <c r="B99" s="17">
        <v>69.099999999999994</v>
      </c>
      <c r="C99" s="18">
        <v>134.5</v>
      </c>
      <c r="F99">
        <f t="shared" si="2"/>
        <v>69.2</v>
      </c>
      <c r="G99" s="18">
        <f t="shared" si="3"/>
        <v>197.5</v>
      </c>
    </row>
    <row r="100" spans="2:7" x14ac:dyDescent="0.25">
      <c r="B100" s="17">
        <v>69.2</v>
      </c>
      <c r="C100" s="18">
        <v>197.5</v>
      </c>
      <c r="F100">
        <f t="shared" si="2"/>
        <v>69.3</v>
      </c>
      <c r="G100" s="18">
        <f t="shared" si="3"/>
        <v>111</v>
      </c>
    </row>
    <row r="101" spans="2:7" x14ac:dyDescent="0.25">
      <c r="B101" s="17">
        <v>69.3</v>
      </c>
      <c r="C101" s="18">
        <v>111</v>
      </c>
      <c r="F101">
        <f t="shared" si="2"/>
        <v>69.400000000000006</v>
      </c>
      <c r="G101" s="18">
        <f t="shared" si="3"/>
        <v>133</v>
      </c>
    </row>
    <row r="102" spans="2:7" x14ac:dyDescent="0.25">
      <c r="B102" s="17">
        <v>69.400000000000006</v>
      </c>
      <c r="C102" s="18">
        <v>133</v>
      </c>
      <c r="F102">
        <f t="shared" si="2"/>
        <v>69.5</v>
      </c>
      <c r="G102" s="18">
        <f t="shared" si="3"/>
        <v>148.66666666666666</v>
      </c>
    </row>
    <row r="103" spans="2:7" x14ac:dyDescent="0.25">
      <c r="B103" s="17">
        <v>69.5</v>
      </c>
      <c r="C103" s="18">
        <v>148.66666666666666</v>
      </c>
      <c r="F103">
        <f t="shared" si="2"/>
        <v>69.599999999999994</v>
      </c>
      <c r="G103" s="18">
        <f t="shared" si="3"/>
        <v>120.75</v>
      </c>
    </row>
    <row r="104" spans="2:7" x14ac:dyDescent="0.25">
      <c r="B104" s="17">
        <v>69.599999999999994</v>
      </c>
      <c r="C104" s="18">
        <v>120.75</v>
      </c>
      <c r="F104">
        <f t="shared" si="2"/>
        <v>69.7</v>
      </c>
      <c r="G104" s="18">
        <f t="shared" si="3"/>
        <v>155.75</v>
      </c>
    </row>
    <row r="105" spans="2:7" x14ac:dyDescent="0.25">
      <c r="B105" s="17">
        <v>69.7</v>
      </c>
      <c r="C105" s="18">
        <v>155.75</v>
      </c>
      <c r="F105">
        <f t="shared" si="2"/>
        <v>69.8</v>
      </c>
      <c r="G105" s="18">
        <f t="shared" si="3"/>
        <v>138.33333333333334</v>
      </c>
    </row>
    <row r="106" spans="2:7" x14ac:dyDescent="0.25">
      <c r="B106" s="17">
        <v>69.8</v>
      </c>
      <c r="C106" s="18">
        <v>138.33333333333334</v>
      </c>
      <c r="F106">
        <f t="shared" si="2"/>
        <v>69.900000000000006</v>
      </c>
      <c r="G106" s="18">
        <f t="shared" si="3"/>
        <v>149.85714285714286</v>
      </c>
    </row>
    <row r="107" spans="2:7" x14ac:dyDescent="0.25">
      <c r="B107" s="17">
        <v>69.900000000000006</v>
      </c>
      <c r="C107" s="18">
        <v>149.85714285714286</v>
      </c>
      <c r="F107">
        <f t="shared" si="2"/>
        <v>70</v>
      </c>
      <c r="G107" s="18">
        <f t="shared" si="3"/>
        <v>141.5</v>
      </c>
    </row>
    <row r="108" spans="2:7" x14ac:dyDescent="0.25">
      <c r="B108" s="17">
        <v>70</v>
      </c>
      <c r="C108" s="18">
        <v>141.5</v>
      </c>
      <c r="F108">
        <f t="shared" si="2"/>
        <v>70.099999999999994</v>
      </c>
      <c r="G108" s="18">
        <f t="shared" si="3"/>
        <v>124</v>
      </c>
    </row>
    <row r="109" spans="2:7" x14ac:dyDescent="0.25">
      <c r="B109" s="17">
        <v>70.099999999999994</v>
      </c>
      <c r="C109" s="18">
        <v>124</v>
      </c>
      <c r="F109">
        <f t="shared" si="2"/>
        <v>70.2</v>
      </c>
      <c r="G109" s="18">
        <f t="shared" si="3"/>
        <v>154.4</v>
      </c>
    </row>
    <row r="110" spans="2:7" x14ac:dyDescent="0.25">
      <c r="B110" s="17">
        <v>70.2</v>
      </c>
      <c r="C110" s="18">
        <v>154.4</v>
      </c>
      <c r="F110">
        <f t="shared" si="2"/>
        <v>70.3</v>
      </c>
      <c r="G110" s="18">
        <f t="shared" si="3"/>
        <v>160.5</v>
      </c>
    </row>
    <row r="111" spans="2:7" x14ac:dyDescent="0.25">
      <c r="B111" s="17">
        <v>70.3</v>
      </c>
      <c r="C111" s="18">
        <v>160.5</v>
      </c>
      <c r="F111">
        <f t="shared" si="2"/>
        <v>70.400000000000006</v>
      </c>
      <c r="G111" s="18">
        <f t="shared" si="3"/>
        <v>211</v>
      </c>
    </row>
    <row r="112" spans="2:7" x14ac:dyDescent="0.25">
      <c r="B112" s="17">
        <v>70.400000000000006</v>
      </c>
      <c r="C112" s="18">
        <v>211</v>
      </c>
      <c r="F112">
        <f t="shared" si="2"/>
        <v>70.5</v>
      </c>
      <c r="G112" s="18">
        <f t="shared" si="3"/>
        <v>169.75</v>
      </c>
    </row>
    <row r="113" spans="2:7" x14ac:dyDescent="0.25">
      <c r="B113" s="17">
        <v>70.5</v>
      </c>
      <c r="C113" s="18">
        <v>169.75</v>
      </c>
      <c r="F113">
        <f t="shared" si="2"/>
        <v>70.599999999999994</v>
      </c>
      <c r="G113" s="18">
        <f t="shared" si="3"/>
        <v>131</v>
      </c>
    </row>
    <row r="114" spans="2:7" x14ac:dyDescent="0.25">
      <c r="B114" s="17">
        <v>70.599999999999994</v>
      </c>
      <c r="C114" s="18">
        <v>131</v>
      </c>
      <c r="F114">
        <f t="shared" si="2"/>
        <v>70.7</v>
      </c>
      <c r="G114" s="18">
        <f t="shared" si="3"/>
        <v>190.8</v>
      </c>
    </row>
    <row r="115" spans="2:7" x14ac:dyDescent="0.25">
      <c r="B115" s="17">
        <v>70.7</v>
      </c>
      <c r="C115" s="18">
        <v>190.8</v>
      </c>
      <c r="F115">
        <f t="shared" si="2"/>
        <v>70.8</v>
      </c>
      <c r="G115" s="18">
        <f t="shared" si="3"/>
        <v>195.75</v>
      </c>
    </row>
    <row r="116" spans="2:7" x14ac:dyDescent="0.25">
      <c r="B116" s="17">
        <v>70.8</v>
      </c>
      <c r="C116" s="18">
        <v>195.75</v>
      </c>
      <c r="F116">
        <f t="shared" si="2"/>
        <v>70.900000000000006</v>
      </c>
      <c r="G116" s="18">
        <f t="shared" si="3"/>
        <v>160</v>
      </c>
    </row>
    <row r="117" spans="2:7" x14ac:dyDescent="0.25">
      <c r="B117" s="17">
        <v>70.900000000000006</v>
      </c>
      <c r="C117" s="18">
        <v>160</v>
      </c>
      <c r="F117">
        <f t="shared" si="2"/>
        <v>71.099999999999994</v>
      </c>
      <c r="G117" s="18">
        <f t="shared" si="3"/>
        <v>175</v>
      </c>
    </row>
    <row r="118" spans="2:7" x14ac:dyDescent="0.25">
      <c r="B118" s="17">
        <v>71.099999999999994</v>
      </c>
      <c r="C118" s="18">
        <v>175</v>
      </c>
      <c r="F118">
        <f t="shared" si="2"/>
        <v>71.2</v>
      </c>
      <c r="G118" s="18">
        <f t="shared" si="3"/>
        <v>128.22222222222223</v>
      </c>
    </row>
    <row r="119" spans="2:7" x14ac:dyDescent="0.25">
      <c r="B119" s="17">
        <v>71.2</v>
      </c>
      <c r="C119" s="18">
        <v>128.22222222222223</v>
      </c>
      <c r="F119">
        <f t="shared" si="2"/>
        <v>71.3</v>
      </c>
      <c r="G119" s="18">
        <f t="shared" si="3"/>
        <v>168.875</v>
      </c>
    </row>
    <row r="120" spans="2:7" x14ac:dyDescent="0.25">
      <c r="B120" s="17">
        <v>71.3</v>
      </c>
      <c r="C120" s="18">
        <v>168.875</v>
      </c>
      <c r="F120">
        <f t="shared" si="2"/>
        <v>71.400000000000006</v>
      </c>
      <c r="G120" s="18">
        <f t="shared" si="3"/>
        <v>191.75</v>
      </c>
    </row>
    <row r="121" spans="2:7" x14ac:dyDescent="0.25">
      <c r="B121" s="17">
        <v>71.400000000000006</v>
      </c>
      <c r="C121" s="18">
        <v>191.75</v>
      </c>
      <c r="F121">
        <f t="shared" si="2"/>
        <v>71.5</v>
      </c>
      <c r="G121" s="18">
        <f t="shared" si="3"/>
        <v>208.66666666666666</v>
      </c>
    </row>
    <row r="122" spans="2:7" x14ac:dyDescent="0.25">
      <c r="B122" s="17">
        <v>71.5</v>
      </c>
      <c r="C122" s="18">
        <v>208.66666666666666</v>
      </c>
      <c r="F122">
        <f t="shared" si="2"/>
        <v>71.599999999999994</v>
      </c>
      <c r="G122" s="18">
        <f t="shared" si="3"/>
        <v>229.66666666666666</v>
      </c>
    </row>
    <row r="123" spans="2:7" x14ac:dyDescent="0.25">
      <c r="B123" s="17">
        <v>71.599999999999994</v>
      </c>
      <c r="C123" s="18">
        <v>229.66666666666666</v>
      </c>
      <c r="F123">
        <f t="shared" si="2"/>
        <v>71.7</v>
      </c>
      <c r="G123" s="18">
        <f t="shared" si="3"/>
        <v>183.4</v>
      </c>
    </row>
    <row r="124" spans="2:7" x14ac:dyDescent="0.25">
      <c r="B124" s="17">
        <v>71.7</v>
      </c>
      <c r="C124" s="18">
        <v>183.4</v>
      </c>
      <c r="F124">
        <f t="shared" si="2"/>
        <v>71.8</v>
      </c>
      <c r="G124" s="18">
        <f t="shared" si="3"/>
        <v>182</v>
      </c>
    </row>
    <row r="125" spans="2:7" x14ac:dyDescent="0.25">
      <c r="B125" s="17">
        <v>71.8</v>
      </c>
      <c r="C125" s="18">
        <v>182</v>
      </c>
      <c r="F125">
        <f t="shared" si="2"/>
        <v>71.900000000000006</v>
      </c>
      <c r="G125" s="18">
        <f t="shared" si="3"/>
        <v>135.5</v>
      </c>
    </row>
    <row r="126" spans="2:7" x14ac:dyDescent="0.25">
      <c r="B126" s="17">
        <v>71.900000000000006</v>
      </c>
      <c r="C126" s="18">
        <v>135.5</v>
      </c>
      <c r="F126">
        <f t="shared" si="2"/>
        <v>72</v>
      </c>
      <c r="G126" s="18">
        <f t="shared" si="3"/>
        <v>152</v>
      </c>
    </row>
    <row r="127" spans="2:7" x14ac:dyDescent="0.25">
      <c r="B127" s="17">
        <v>72</v>
      </c>
      <c r="C127" s="18">
        <v>152</v>
      </c>
      <c r="F127">
        <f t="shared" si="2"/>
        <v>72.099999999999994</v>
      </c>
      <c r="G127" s="18">
        <f t="shared" si="3"/>
        <v>176.66666666666666</v>
      </c>
    </row>
    <row r="128" spans="2:7" x14ac:dyDescent="0.25">
      <c r="B128" s="17">
        <v>72.099999999999994</v>
      </c>
      <c r="C128" s="18">
        <v>176.66666666666666</v>
      </c>
      <c r="F128">
        <f t="shared" si="2"/>
        <v>72.2</v>
      </c>
      <c r="G128" s="18">
        <f t="shared" si="3"/>
        <v>187.66666666666666</v>
      </c>
    </row>
    <row r="129" spans="2:7" x14ac:dyDescent="0.25">
      <c r="B129" s="17">
        <v>72.2</v>
      </c>
      <c r="C129" s="18">
        <v>187.66666666666666</v>
      </c>
      <c r="F129">
        <f t="shared" si="2"/>
        <v>72.3</v>
      </c>
      <c r="G129" s="18">
        <f t="shared" si="3"/>
        <v>153.33333333333334</v>
      </c>
    </row>
    <row r="130" spans="2:7" x14ac:dyDescent="0.25">
      <c r="B130" s="17">
        <v>72.3</v>
      </c>
      <c r="C130" s="18">
        <v>153.33333333333334</v>
      </c>
      <c r="F130">
        <f t="shared" si="2"/>
        <v>72.400000000000006</v>
      </c>
      <c r="G130" s="18">
        <f t="shared" si="3"/>
        <v>170.4</v>
      </c>
    </row>
    <row r="131" spans="2:7" x14ac:dyDescent="0.25">
      <c r="B131" s="17">
        <v>72.400000000000006</v>
      </c>
      <c r="C131" s="18">
        <v>170.4</v>
      </c>
      <c r="F131">
        <f t="shared" si="2"/>
        <v>72.5</v>
      </c>
      <c r="G131" s="18">
        <f t="shared" si="3"/>
        <v>234</v>
      </c>
    </row>
    <row r="132" spans="2:7" x14ac:dyDescent="0.25">
      <c r="B132" s="17">
        <v>72.5</v>
      </c>
      <c r="C132" s="18">
        <v>234</v>
      </c>
      <c r="F132">
        <f t="shared" si="2"/>
        <v>72.599999999999994</v>
      </c>
      <c r="G132" s="18">
        <f t="shared" si="3"/>
        <v>179.4</v>
      </c>
    </row>
    <row r="133" spans="2:7" x14ac:dyDescent="0.25">
      <c r="B133" s="17">
        <v>72.599999999999994</v>
      </c>
      <c r="C133" s="18">
        <v>179.4</v>
      </c>
      <c r="F133">
        <f t="shared" ref="F133:F196" si="4">B134</f>
        <v>72.7</v>
      </c>
      <c r="G133" s="18">
        <f t="shared" ref="G133:G196" si="5">C134</f>
        <v>180.5</v>
      </c>
    </row>
    <row r="134" spans="2:7" x14ac:dyDescent="0.25">
      <c r="B134" s="17">
        <v>72.7</v>
      </c>
      <c r="C134" s="18">
        <v>180.5</v>
      </c>
      <c r="F134">
        <f t="shared" si="4"/>
        <v>72.8</v>
      </c>
      <c r="G134" s="18">
        <f t="shared" si="5"/>
        <v>179.5</v>
      </c>
    </row>
    <row r="135" spans="2:7" x14ac:dyDescent="0.25">
      <c r="B135" s="17">
        <v>72.8</v>
      </c>
      <c r="C135" s="18">
        <v>179.5</v>
      </c>
      <c r="F135">
        <f t="shared" si="4"/>
        <v>72.900000000000006</v>
      </c>
      <c r="G135" s="18">
        <f t="shared" si="5"/>
        <v>209.5</v>
      </c>
    </row>
    <row r="136" spans="2:7" x14ac:dyDescent="0.25">
      <c r="B136" s="17">
        <v>72.900000000000006</v>
      </c>
      <c r="C136" s="18">
        <v>209.5</v>
      </c>
      <c r="F136">
        <f t="shared" si="4"/>
        <v>73</v>
      </c>
      <c r="G136" s="18">
        <f t="shared" si="5"/>
        <v>160.80000000000001</v>
      </c>
    </row>
    <row r="137" spans="2:7" x14ac:dyDescent="0.25">
      <c r="B137" s="17">
        <v>73</v>
      </c>
      <c r="C137" s="18">
        <v>160.80000000000001</v>
      </c>
      <c r="F137">
        <f t="shared" si="4"/>
        <v>73.099999999999994</v>
      </c>
      <c r="G137" s="18">
        <f t="shared" si="5"/>
        <v>156.75</v>
      </c>
    </row>
    <row r="138" spans="2:7" x14ac:dyDescent="0.25">
      <c r="B138" s="17">
        <v>73.099999999999994</v>
      </c>
      <c r="C138" s="18">
        <v>156.75</v>
      </c>
      <c r="F138">
        <f t="shared" si="4"/>
        <v>73.2</v>
      </c>
      <c r="G138" s="18">
        <f t="shared" si="5"/>
        <v>158.66666666666666</v>
      </c>
    </row>
    <row r="139" spans="2:7" x14ac:dyDescent="0.25">
      <c r="B139" s="17">
        <v>73.2</v>
      </c>
      <c r="C139" s="18">
        <v>158.66666666666666</v>
      </c>
      <c r="F139">
        <f t="shared" si="4"/>
        <v>73.3</v>
      </c>
      <c r="G139" s="18">
        <f t="shared" si="5"/>
        <v>254</v>
      </c>
    </row>
    <row r="140" spans="2:7" x14ac:dyDescent="0.25">
      <c r="B140" s="17">
        <v>73.3</v>
      </c>
      <c r="C140" s="18">
        <v>254</v>
      </c>
      <c r="F140">
        <f t="shared" si="4"/>
        <v>73.400000000000006</v>
      </c>
      <c r="G140" s="18">
        <f t="shared" si="5"/>
        <v>156.5</v>
      </c>
    </row>
    <row r="141" spans="2:7" x14ac:dyDescent="0.25">
      <c r="B141" s="17">
        <v>73.400000000000006</v>
      </c>
      <c r="C141" s="18">
        <v>156.5</v>
      </c>
      <c r="F141">
        <f t="shared" si="4"/>
        <v>73.5</v>
      </c>
      <c r="G141" s="18">
        <f t="shared" si="5"/>
        <v>180</v>
      </c>
    </row>
    <row r="142" spans="2:7" x14ac:dyDescent="0.25">
      <c r="B142" s="17">
        <v>73.5</v>
      </c>
      <c r="C142" s="18">
        <v>180</v>
      </c>
      <c r="F142">
        <f t="shared" si="4"/>
        <v>73.7</v>
      </c>
      <c r="G142" s="18">
        <f t="shared" si="5"/>
        <v>183</v>
      </c>
    </row>
    <row r="143" spans="2:7" x14ac:dyDescent="0.25">
      <c r="B143" s="17">
        <v>73.7</v>
      </c>
      <c r="C143" s="18">
        <v>183</v>
      </c>
      <c r="F143">
        <f t="shared" si="4"/>
        <v>73.8</v>
      </c>
      <c r="G143" s="18">
        <f t="shared" si="5"/>
        <v>182.8</v>
      </c>
    </row>
    <row r="144" spans="2:7" x14ac:dyDescent="0.25">
      <c r="B144" s="17">
        <v>73.8</v>
      </c>
      <c r="C144" s="18">
        <v>182.8</v>
      </c>
      <c r="F144">
        <f t="shared" si="4"/>
        <v>73.900000000000006</v>
      </c>
      <c r="G144" s="18">
        <f t="shared" si="5"/>
        <v>170.57142857142858</v>
      </c>
    </row>
    <row r="145" spans="2:7" x14ac:dyDescent="0.25">
      <c r="B145" s="17">
        <v>73.900000000000006</v>
      </c>
      <c r="C145" s="18">
        <v>170.57142857142858</v>
      </c>
      <c r="F145">
        <f t="shared" si="4"/>
        <v>74</v>
      </c>
      <c r="G145" s="18">
        <f t="shared" si="5"/>
        <v>206</v>
      </c>
    </row>
    <row r="146" spans="2:7" x14ac:dyDescent="0.25">
      <c r="B146" s="17">
        <v>74</v>
      </c>
      <c r="C146" s="18">
        <v>206</v>
      </c>
      <c r="F146">
        <f t="shared" si="4"/>
        <v>74.099999999999994</v>
      </c>
      <c r="G146" s="18">
        <f t="shared" si="5"/>
        <v>185.75</v>
      </c>
    </row>
    <row r="147" spans="2:7" x14ac:dyDescent="0.25">
      <c r="B147" s="17">
        <v>74.099999999999994</v>
      </c>
      <c r="C147" s="18">
        <v>185.75</v>
      </c>
      <c r="F147">
        <f t="shared" si="4"/>
        <v>74.2</v>
      </c>
      <c r="G147" s="18">
        <f t="shared" si="5"/>
        <v>156</v>
      </c>
    </row>
    <row r="148" spans="2:7" x14ac:dyDescent="0.25">
      <c r="B148" s="17">
        <v>74.2</v>
      </c>
      <c r="C148" s="18">
        <v>156</v>
      </c>
      <c r="F148">
        <f t="shared" si="4"/>
        <v>74.3</v>
      </c>
      <c r="G148" s="18">
        <f t="shared" si="5"/>
        <v>197.66666666666666</v>
      </c>
    </row>
    <row r="149" spans="2:7" x14ac:dyDescent="0.25">
      <c r="B149" s="17">
        <v>74.3</v>
      </c>
      <c r="C149" s="18">
        <v>197.66666666666666</v>
      </c>
      <c r="F149">
        <f t="shared" si="4"/>
        <v>74.400000000000006</v>
      </c>
      <c r="G149" s="18">
        <f t="shared" si="5"/>
        <v>166.75</v>
      </c>
    </row>
    <row r="150" spans="2:7" x14ac:dyDescent="0.25">
      <c r="B150" s="17">
        <v>74.400000000000006</v>
      </c>
      <c r="C150" s="18">
        <v>166.75</v>
      </c>
      <c r="F150">
        <f t="shared" si="4"/>
        <v>74.5</v>
      </c>
      <c r="G150" s="18">
        <f t="shared" si="5"/>
        <v>245</v>
      </c>
    </row>
    <row r="151" spans="2:7" x14ac:dyDescent="0.25">
      <c r="B151" s="17">
        <v>74.5</v>
      </c>
      <c r="C151" s="18">
        <v>245</v>
      </c>
      <c r="F151">
        <f t="shared" si="4"/>
        <v>74.599999999999994</v>
      </c>
      <c r="G151" s="18">
        <f t="shared" si="5"/>
        <v>212.5</v>
      </c>
    </row>
    <row r="152" spans="2:7" x14ac:dyDescent="0.25">
      <c r="B152" s="17">
        <v>74.599999999999994</v>
      </c>
      <c r="C152" s="18">
        <v>212.5</v>
      </c>
      <c r="F152">
        <f t="shared" si="4"/>
        <v>74.7</v>
      </c>
      <c r="G152" s="18">
        <f t="shared" si="5"/>
        <v>182.625</v>
      </c>
    </row>
    <row r="153" spans="2:7" x14ac:dyDescent="0.25">
      <c r="B153" s="17">
        <v>74.7</v>
      </c>
      <c r="C153" s="18">
        <v>182.625</v>
      </c>
      <c r="F153">
        <f t="shared" si="4"/>
        <v>74.8</v>
      </c>
      <c r="G153" s="18">
        <f t="shared" si="5"/>
        <v>185</v>
      </c>
    </row>
    <row r="154" spans="2:7" x14ac:dyDescent="0.25">
      <c r="B154" s="17">
        <v>74.8</v>
      </c>
      <c r="C154" s="18">
        <v>185</v>
      </c>
      <c r="F154">
        <f t="shared" si="4"/>
        <v>74.900000000000006</v>
      </c>
      <c r="G154" s="18">
        <f t="shared" si="5"/>
        <v>214</v>
      </c>
    </row>
    <row r="155" spans="2:7" x14ac:dyDescent="0.25">
      <c r="B155" s="17">
        <v>74.900000000000006</v>
      </c>
      <c r="C155" s="18">
        <v>214</v>
      </c>
      <c r="F155">
        <f t="shared" si="4"/>
        <v>75</v>
      </c>
      <c r="G155" s="18">
        <f t="shared" si="5"/>
        <v>211</v>
      </c>
    </row>
    <row r="156" spans="2:7" x14ac:dyDescent="0.25">
      <c r="B156" s="17">
        <v>75</v>
      </c>
      <c r="C156" s="18">
        <v>211</v>
      </c>
      <c r="F156">
        <f t="shared" si="4"/>
        <v>75.099999999999994</v>
      </c>
      <c r="G156" s="18">
        <f t="shared" si="5"/>
        <v>141</v>
      </c>
    </row>
    <row r="157" spans="2:7" x14ac:dyDescent="0.25">
      <c r="B157" s="17">
        <v>75.099999999999994</v>
      </c>
      <c r="C157" s="18">
        <v>141</v>
      </c>
      <c r="F157">
        <f t="shared" si="4"/>
        <v>75.2</v>
      </c>
      <c r="G157" s="18">
        <f t="shared" si="5"/>
        <v>197.5</v>
      </c>
    </row>
    <row r="158" spans="2:7" x14ac:dyDescent="0.25">
      <c r="B158" s="17">
        <v>75.2</v>
      </c>
      <c r="C158" s="18">
        <v>197.5</v>
      </c>
      <c r="F158">
        <f t="shared" si="4"/>
        <v>75.3</v>
      </c>
      <c r="G158" s="18">
        <f t="shared" si="5"/>
        <v>175.4</v>
      </c>
    </row>
    <row r="159" spans="2:7" x14ac:dyDescent="0.25">
      <c r="B159" s="17">
        <v>75.3</v>
      </c>
      <c r="C159" s="18">
        <v>175.4</v>
      </c>
      <c r="F159">
        <f t="shared" si="4"/>
        <v>75.400000000000006</v>
      </c>
      <c r="G159" s="18">
        <f t="shared" si="5"/>
        <v>253.25</v>
      </c>
    </row>
    <row r="160" spans="2:7" x14ac:dyDescent="0.25">
      <c r="B160" s="17">
        <v>75.400000000000006</v>
      </c>
      <c r="C160" s="18">
        <v>253.25</v>
      </c>
      <c r="F160">
        <f t="shared" si="4"/>
        <v>75.5</v>
      </c>
      <c r="G160" s="18">
        <f t="shared" si="5"/>
        <v>177.75</v>
      </c>
    </row>
    <row r="161" spans="2:7" x14ac:dyDescent="0.25">
      <c r="B161" s="17">
        <v>75.5</v>
      </c>
      <c r="C161" s="18">
        <v>177.75</v>
      </c>
      <c r="F161">
        <f t="shared" si="4"/>
        <v>75.599999999999994</v>
      </c>
      <c r="G161" s="18">
        <f t="shared" si="5"/>
        <v>273</v>
      </c>
    </row>
    <row r="162" spans="2:7" x14ac:dyDescent="0.25">
      <c r="B162" s="17">
        <v>75.599999999999994</v>
      </c>
      <c r="C162" s="18">
        <v>273</v>
      </c>
      <c r="F162">
        <f t="shared" si="4"/>
        <v>75.7</v>
      </c>
      <c r="G162" s="18">
        <f t="shared" si="5"/>
        <v>207</v>
      </c>
    </row>
    <row r="163" spans="2:7" x14ac:dyDescent="0.25">
      <c r="B163" s="17">
        <v>75.7</v>
      </c>
      <c r="C163" s="18">
        <v>207</v>
      </c>
      <c r="F163">
        <f t="shared" si="4"/>
        <v>75.8</v>
      </c>
      <c r="G163" s="18">
        <f t="shared" si="5"/>
        <v>213</v>
      </c>
    </row>
    <row r="164" spans="2:7" x14ac:dyDescent="0.25">
      <c r="B164" s="17">
        <v>75.8</v>
      </c>
      <c r="C164" s="18">
        <v>213</v>
      </c>
      <c r="F164">
        <f t="shared" si="4"/>
        <v>75.900000000000006</v>
      </c>
      <c r="G164" s="18">
        <f t="shared" si="5"/>
        <v>175.25</v>
      </c>
    </row>
    <row r="165" spans="2:7" x14ac:dyDescent="0.25">
      <c r="B165" s="17">
        <v>75.900000000000006</v>
      </c>
      <c r="C165" s="18">
        <v>175.25</v>
      </c>
      <c r="F165">
        <f t="shared" si="4"/>
        <v>76</v>
      </c>
      <c r="G165" s="18">
        <f t="shared" si="5"/>
        <v>184.66666666666666</v>
      </c>
    </row>
    <row r="166" spans="2:7" x14ac:dyDescent="0.25">
      <c r="B166" s="17">
        <v>76</v>
      </c>
      <c r="C166" s="18">
        <v>184.66666666666666</v>
      </c>
      <c r="F166">
        <f t="shared" si="4"/>
        <v>76.099999999999994</v>
      </c>
      <c r="G166" s="18">
        <f t="shared" si="5"/>
        <v>210.5</v>
      </c>
    </row>
    <row r="167" spans="2:7" x14ac:dyDescent="0.25">
      <c r="B167" s="17">
        <v>76.099999999999994</v>
      </c>
      <c r="C167" s="18">
        <v>210.5</v>
      </c>
      <c r="F167">
        <f t="shared" si="4"/>
        <v>76.2</v>
      </c>
      <c r="G167" s="18">
        <f t="shared" si="5"/>
        <v>187.42857142857142</v>
      </c>
    </row>
    <row r="168" spans="2:7" x14ac:dyDescent="0.25">
      <c r="B168" s="17">
        <v>76.2</v>
      </c>
      <c r="C168" s="18">
        <v>187.42857142857142</v>
      </c>
      <c r="F168">
        <f t="shared" si="4"/>
        <v>76.3</v>
      </c>
      <c r="G168" s="18">
        <f t="shared" si="5"/>
        <v>187</v>
      </c>
    </row>
    <row r="169" spans="2:7" x14ac:dyDescent="0.25">
      <c r="B169" s="17">
        <v>76.3</v>
      </c>
      <c r="C169" s="18">
        <v>187</v>
      </c>
      <c r="F169">
        <f t="shared" si="4"/>
        <v>76.400000000000006</v>
      </c>
      <c r="G169" s="18">
        <f t="shared" si="5"/>
        <v>156</v>
      </c>
    </row>
    <row r="170" spans="2:7" x14ac:dyDescent="0.25">
      <c r="B170" s="17">
        <v>76.400000000000006</v>
      </c>
      <c r="C170" s="18">
        <v>156</v>
      </c>
      <c r="F170">
        <f t="shared" si="4"/>
        <v>76.5</v>
      </c>
      <c r="G170" s="18">
        <f t="shared" si="5"/>
        <v>190</v>
      </c>
    </row>
    <row r="171" spans="2:7" x14ac:dyDescent="0.25">
      <c r="B171" s="17">
        <v>76.5</v>
      </c>
      <c r="C171" s="18">
        <v>190</v>
      </c>
      <c r="F171">
        <f t="shared" si="4"/>
        <v>76.599999999999994</v>
      </c>
      <c r="G171" s="18">
        <f t="shared" si="5"/>
        <v>188.5</v>
      </c>
    </row>
    <row r="172" spans="2:7" x14ac:dyDescent="0.25">
      <c r="B172" s="17">
        <v>76.599999999999994</v>
      </c>
      <c r="C172" s="18">
        <v>188.5</v>
      </c>
      <c r="F172">
        <f t="shared" si="4"/>
        <v>76.7</v>
      </c>
      <c r="G172" s="18">
        <f t="shared" si="5"/>
        <v>270</v>
      </c>
    </row>
    <row r="173" spans="2:7" x14ac:dyDescent="0.25">
      <c r="B173" s="17">
        <v>76.7</v>
      </c>
      <c r="C173" s="18">
        <v>270</v>
      </c>
      <c r="F173">
        <f t="shared" si="4"/>
        <v>76.8</v>
      </c>
      <c r="G173" s="18">
        <f t="shared" si="5"/>
        <v>214.25</v>
      </c>
    </row>
    <row r="174" spans="2:7" x14ac:dyDescent="0.25">
      <c r="B174" s="17">
        <v>76.8</v>
      </c>
      <c r="C174" s="18">
        <v>214.25</v>
      </c>
      <c r="F174">
        <f t="shared" si="4"/>
        <v>76.900000000000006</v>
      </c>
      <c r="G174" s="18">
        <f t="shared" si="5"/>
        <v>209</v>
      </c>
    </row>
    <row r="175" spans="2:7" x14ac:dyDescent="0.25">
      <c r="B175" s="17">
        <v>76.900000000000006</v>
      </c>
      <c r="C175" s="18">
        <v>209</v>
      </c>
      <c r="F175">
        <f t="shared" si="4"/>
        <v>77</v>
      </c>
      <c r="G175" s="18">
        <f t="shared" si="5"/>
        <v>171.66666666666666</v>
      </c>
    </row>
    <row r="176" spans="2:7" x14ac:dyDescent="0.25">
      <c r="B176" s="17">
        <v>77</v>
      </c>
      <c r="C176" s="18">
        <v>171.66666666666666</v>
      </c>
      <c r="F176">
        <f t="shared" si="4"/>
        <v>77.099999999999994</v>
      </c>
      <c r="G176" s="18">
        <f t="shared" si="5"/>
        <v>183.33333333333334</v>
      </c>
    </row>
    <row r="177" spans="2:7" x14ac:dyDescent="0.25">
      <c r="B177" s="17">
        <v>77.099999999999994</v>
      </c>
      <c r="C177" s="18">
        <v>183.33333333333334</v>
      </c>
      <c r="F177">
        <f t="shared" si="4"/>
        <v>77.2</v>
      </c>
      <c r="G177" s="18">
        <f t="shared" si="5"/>
        <v>216.5</v>
      </c>
    </row>
    <row r="178" spans="2:7" x14ac:dyDescent="0.25">
      <c r="B178" s="17">
        <v>77.2</v>
      </c>
      <c r="C178" s="18">
        <v>216.5</v>
      </c>
      <c r="F178">
        <f t="shared" si="4"/>
        <v>77.3</v>
      </c>
      <c r="G178" s="18">
        <f t="shared" si="5"/>
        <v>160</v>
      </c>
    </row>
    <row r="179" spans="2:7" x14ac:dyDescent="0.25">
      <c r="B179" s="17">
        <v>77.3</v>
      </c>
      <c r="C179" s="18">
        <v>160</v>
      </c>
      <c r="F179">
        <f t="shared" si="4"/>
        <v>77.400000000000006</v>
      </c>
      <c r="G179" s="18">
        <f t="shared" si="5"/>
        <v>215.33333333333334</v>
      </c>
    </row>
    <row r="180" spans="2:7" x14ac:dyDescent="0.25">
      <c r="B180" s="17">
        <v>77.400000000000006</v>
      </c>
      <c r="C180" s="18">
        <v>215.33333333333334</v>
      </c>
      <c r="F180">
        <f t="shared" si="4"/>
        <v>77.5</v>
      </c>
      <c r="G180" s="18">
        <f t="shared" si="5"/>
        <v>264</v>
      </c>
    </row>
    <row r="181" spans="2:7" x14ac:dyDescent="0.25">
      <c r="B181" s="17">
        <v>77.5</v>
      </c>
      <c r="C181" s="18">
        <v>264</v>
      </c>
      <c r="F181">
        <f t="shared" si="4"/>
        <v>77.7</v>
      </c>
      <c r="G181" s="18">
        <f t="shared" si="5"/>
        <v>172</v>
      </c>
    </row>
    <row r="182" spans="2:7" x14ac:dyDescent="0.25">
      <c r="B182" s="17">
        <v>77.7</v>
      </c>
      <c r="C182" s="18">
        <v>172</v>
      </c>
      <c r="F182">
        <f t="shared" si="4"/>
        <v>77.8</v>
      </c>
      <c r="G182" s="18">
        <f t="shared" si="5"/>
        <v>210</v>
      </c>
    </row>
    <row r="183" spans="2:7" x14ac:dyDescent="0.25">
      <c r="B183" s="17">
        <v>77.8</v>
      </c>
      <c r="C183" s="18">
        <v>210</v>
      </c>
      <c r="F183">
        <f t="shared" si="4"/>
        <v>77.900000000000006</v>
      </c>
      <c r="G183" s="18">
        <f t="shared" si="5"/>
        <v>215</v>
      </c>
    </row>
    <row r="184" spans="2:7" x14ac:dyDescent="0.25">
      <c r="B184" s="17">
        <v>77.900000000000006</v>
      </c>
      <c r="C184" s="18">
        <v>215</v>
      </c>
      <c r="F184">
        <f t="shared" si="4"/>
        <v>78</v>
      </c>
      <c r="G184" s="18">
        <f t="shared" si="5"/>
        <v>177</v>
      </c>
    </row>
    <row r="185" spans="2:7" x14ac:dyDescent="0.25">
      <c r="B185" s="17">
        <v>78</v>
      </c>
      <c r="C185" s="18">
        <v>177</v>
      </c>
      <c r="F185">
        <f t="shared" si="4"/>
        <v>78.099999999999994</v>
      </c>
      <c r="G185" s="18">
        <f t="shared" si="5"/>
        <v>237</v>
      </c>
    </row>
    <row r="186" spans="2:7" x14ac:dyDescent="0.25">
      <c r="B186" s="17">
        <v>78.099999999999994</v>
      </c>
      <c r="C186" s="18">
        <v>237</v>
      </c>
      <c r="F186">
        <f t="shared" si="4"/>
        <v>78.2</v>
      </c>
      <c r="G186" s="18">
        <f t="shared" si="5"/>
        <v>185.75</v>
      </c>
    </row>
    <row r="187" spans="2:7" x14ac:dyDescent="0.25">
      <c r="B187" s="17">
        <v>78.2</v>
      </c>
      <c r="C187" s="18">
        <v>185.75</v>
      </c>
      <c r="F187">
        <f t="shared" si="4"/>
        <v>78.3</v>
      </c>
      <c r="G187" s="18">
        <f t="shared" si="5"/>
        <v>205</v>
      </c>
    </row>
    <row r="188" spans="2:7" x14ac:dyDescent="0.25">
      <c r="B188" s="17">
        <v>78.3</v>
      </c>
      <c r="C188" s="18">
        <v>205</v>
      </c>
      <c r="F188">
        <f t="shared" si="4"/>
        <v>78.5</v>
      </c>
      <c r="G188" s="18">
        <f t="shared" si="5"/>
        <v>184.5</v>
      </c>
    </row>
    <row r="189" spans="2:7" x14ac:dyDescent="0.25">
      <c r="B189" s="17">
        <v>78.5</v>
      </c>
      <c r="C189" s="18">
        <v>184.5</v>
      </c>
      <c r="F189">
        <f t="shared" si="4"/>
        <v>78.599999999999994</v>
      </c>
      <c r="G189" s="18">
        <f t="shared" si="5"/>
        <v>117</v>
      </c>
    </row>
    <row r="190" spans="2:7" x14ac:dyDescent="0.25">
      <c r="B190" s="17">
        <v>78.599999999999994</v>
      </c>
      <c r="C190" s="18">
        <v>117</v>
      </c>
      <c r="F190">
        <f t="shared" si="4"/>
        <v>78.7</v>
      </c>
      <c r="G190" s="18">
        <f t="shared" si="5"/>
        <v>161.5</v>
      </c>
    </row>
    <row r="191" spans="2:7" x14ac:dyDescent="0.25">
      <c r="B191" s="17">
        <v>78.7</v>
      </c>
      <c r="C191" s="18">
        <v>161.5</v>
      </c>
      <c r="F191">
        <f t="shared" si="4"/>
        <v>78.8</v>
      </c>
      <c r="G191" s="18">
        <f t="shared" si="5"/>
        <v>155.33333333333334</v>
      </c>
    </row>
    <row r="192" spans="2:7" x14ac:dyDescent="0.25">
      <c r="B192" s="17">
        <v>78.8</v>
      </c>
      <c r="C192" s="18">
        <v>155.33333333333334</v>
      </c>
      <c r="F192">
        <f t="shared" si="4"/>
        <v>78.900000000000006</v>
      </c>
      <c r="G192" s="18">
        <f t="shared" si="5"/>
        <v>185.25</v>
      </c>
    </row>
    <row r="193" spans="2:7" x14ac:dyDescent="0.25">
      <c r="B193" s="17">
        <v>78.900000000000006</v>
      </c>
      <c r="C193" s="18">
        <v>185.25</v>
      </c>
      <c r="F193">
        <f t="shared" si="4"/>
        <v>79.099999999999994</v>
      </c>
      <c r="G193" s="18">
        <f t="shared" si="5"/>
        <v>175.33333333333334</v>
      </c>
    </row>
    <row r="194" spans="2:7" x14ac:dyDescent="0.25">
      <c r="B194" s="17">
        <v>79.099999999999994</v>
      </c>
      <c r="C194" s="18">
        <v>175.33333333333334</v>
      </c>
      <c r="F194">
        <f t="shared" si="4"/>
        <v>79.2</v>
      </c>
      <c r="G194" s="18">
        <f t="shared" si="5"/>
        <v>202.33333333333334</v>
      </c>
    </row>
    <row r="195" spans="2:7" x14ac:dyDescent="0.25">
      <c r="B195" s="17">
        <v>79.2</v>
      </c>
      <c r="C195" s="18">
        <v>202.33333333333334</v>
      </c>
      <c r="F195">
        <f t="shared" si="4"/>
        <v>79.3</v>
      </c>
      <c r="G195" s="18">
        <f t="shared" si="5"/>
        <v>230.2</v>
      </c>
    </row>
    <row r="196" spans="2:7" x14ac:dyDescent="0.25">
      <c r="B196" s="17">
        <v>79.3</v>
      </c>
      <c r="C196" s="18">
        <v>230.2</v>
      </c>
      <c r="F196">
        <f t="shared" si="4"/>
        <v>79.400000000000006</v>
      </c>
      <c r="G196" s="18">
        <f t="shared" si="5"/>
        <v>173.66666666666666</v>
      </c>
    </row>
    <row r="197" spans="2:7" x14ac:dyDescent="0.25">
      <c r="B197" s="17">
        <v>79.400000000000006</v>
      </c>
      <c r="C197" s="18">
        <v>173.66666666666666</v>
      </c>
      <c r="F197">
        <f t="shared" ref="F197:F260" si="6">B198</f>
        <v>79.5</v>
      </c>
      <c r="G197" s="18">
        <f t="shared" ref="G197:G260" si="7">C198</f>
        <v>166</v>
      </c>
    </row>
    <row r="198" spans="2:7" x14ac:dyDescent="0.25">
      <c r="B198" s="17">
        <v>79.5</v>
      </c>
      <c r="C198" s="18">
        <v>166</v>
      </c>
      <c r="F198">
        <f t="shared" si="6"/>
        <v>79.599999999999994</v>
      </c>
      <c r="G198" s="18">
        <f t="shared" si="7"/>
        <v>229</v>
      </c>
    </row>
    <row r="199" spans="2:7" x14ac:dyDescent="0.25">
      <c r="B199" s="17">
        <v>79.599999999999994</v>
      </c>
      <c r="C199" s="18">
        <v>229</v>
      </c>
      <c r="F199">
        <f t="shared" si="6"/>
        <v>79.7</v>
      </c>
      <c r="G199" s="18">
        <f t="shared" si="7"/>
        <v>141</v>
      </c>
    </row>
    <row r="200" spans="2:7" x14ac:dyDescent="0.25">
      <c r="B200" s="17">
        <v>79.7</v>
      </c>
      <c r="C200" s="18">
        <v>141</v>
      </c>
      <c r="F200">
        <f t="shared" si="6"/>
        <v>79.8</v>
      </c>
      <c r="G200" s="18">
        <f t="shared" si="7"/>
        <v>195.33333333333334</v>
      </c>
    </row>
    <row r="201" spans="2:7" x14ac:dyDescent="0.25">
      <c r="B201" s="17">
        <v>79.8</v>
      </c>
      <c r="C201" s="18">
        <v>195.33333333333334</v>
      </c>
      <c r="F201">
        <f t="shared" si="6"/>
        <v>79.900000000000006</v>
      </c>
      <c r="G201" s="18">
        <f t="shared" si="7"/>
        <v>213.5</v>
      </c>
    </row>
    <row r="202" spans="2:7" x14ac:dyDescent="0.25">
      <c r="B202" s="17">
        <v>79.900000000000006</v>
      </c>
      <c r="C202" s="18">
        <v>213.5</v>
      </c>
      <c r="F202">
        <f t="shared" si="6"/>
        <v>80</v>
      </c>
      <c r="G202" s="18">
        <f t="shared" si="7"/>
        <v>308</v>
      </c>
    </row>
    <row r="203" spans="2:7" x14ac:dyDescent="0.25">
      <c r="B203" s="17">
        <v>80</v>
      </c>
      <c r="C203" s="18">
        <v>308</v>
      </c>
      <c r="F203">
        <f t="shared" si="6"/>
        <v>80.099999999999994</v>
      </c>
      <c r="G203" s="18">
        <f t="shared" si="7"/>
        <v>229.83333333333334</v>
      </c>
    </row>
    <row r="204" spans="2:7" x14ac:dyDescent="0.25">
      <c r="B204" s="17">
        <v>80.099999999999994</v>
      </c>
      <c r="C204" s="18">
        <v>229.83333333333334</v>
      </c>
      <c r="F204">
        <f t="shared" si="6"/>
        <v>80.2</v>
      </c>
      <c r="G204" s="18">
        <f t="shared" si="7"/>
        <v>167</v>
      </c>
    </row>
    <row r="205" spans="2:7" x14ac:dyDescent="0.25">
      <c r="B205" s="17">
        <v>80.2</v>
      </c>
      <c r="C205" s="18">
        <v>167</v>
      </c>
      <c r="F205">
        <f t="shared" si="6"/>
        <v>80.3</v>
      </c>
      <c r="G205" s="18">
        <f t="shared" si="7"/>
        <v>199.33333333333334</v>
      </c>
    </row>
    <row r="206" spans="2:7" x14ac:dyDescent="0.25">
      <c r="B206" s="17">
        <v>80.3</v>
      </c>
      <c r="C206" s="18">
        <v>199.33333333333334</v>
      </c>
      <c r="F206">
        <f t="shared" si="6"/>
        <v>80.400000000000006</v>
      </c>
      <c r="G206" s="18">
        <f t="shared" si="7"/>
        <v>289.75</v>
      </c>
    </row>
    <row r="207" spans="2:7" x14ac:dyDescent="0.25">
      <c r="B207" s="17">
        <v>80.400000000000006</v>
      </c>
      <c r="C207" s="18">
        <v>289.75</v>
      </c>
      <c r="F207">
        <f t="shared" si="6"/>
        <v>80.5</v>
      </c>
      <c r="G207" s="18">
        <f t="shared" si="7"/>
        <v>243.33333333333334</v>
      </c>
    </row>
    <row r="208" spans="2:7" x14ac:dyDescent="0.25">
      <c r="B208" s="17">
        <v>80.5</v>
      </c>
      <c r="C208" s="18">
        <v>243.33333333333334</v>
      </c>
      <c r="F208">
        <f t="shared" si="6"/>
        <v>80.599999999999994</v>
      </c>
      <c r="G208" s="18">
        <f t="shared" si="7"/>
        <v>272</v>
      </c>
    </row>
    <row r="209" spans="2:7" x14ac:dyDescent="0.25">
      <c r="B209" s="17">
        <v>80.599999999999994</v>
      </c>
      <c r="C209" s="18">
        <v>272</v>
      </c>
      <c r="F209">
        <f t="shared" si="6"/>
        <v>80.7</v>
      </c>
      <c r="G209" s="18">
        <f t="shared" si="7"/>
        <v>215</v>
      </c>
    </row>
    <row r="210" spans="2:7" x14ac:dyDescent="0.25">
      <c r="B210" s="17">
        <v>80.7</v>
      </c>
      <c r="C210" s="18">
        <v>215</v>
      </c>
      <c r="F210">
        <f t="shared" si="6"/>
        <v>80.8</v>
      </c>
      <c r="G210" s="18">
        <f t="shared" si="7"/>
        <v>215.75</v>
      </c>
    </row>
    <row r="211" spans="2:7" x14ac:dyDescent="0.25">
      <c r="B211" s="17">
        <v>80.8</v>
      </c>
      <c r="C211" s="18">
        <v>215.75</v>
      </c>
      <c r="F211">
        <f t="shared" si="6"/>
        <v>80.900000000000006</v>
      </c>
      <c r="G211" s="18">
        <f t="shared" si="7"/>
        <v>245</v>
      </c>
    </row>
    <row r="212" spans="2:7" x14ac:dyDescent="0.25">
      <c r="B212" s="17">
        <v>80.900000000000006</v>
      </c>
      <c r="C212" s="18">
        <v>245</v>
      </c>
      <c r="F212">
        <f t="shared" si="6"/>
        <v>81</v>
      </c>
      <c r="G212" s="18">
        <f t="shared" si="7"/>
        <v>260</v>
      </c>
    </row>
    <row r="213" spans="2:7" x14ac:dyDescent="0.25">
      <c r="B213" s="17">
        <v>81</v>
      </c>
      <c r="C213" s="18">
        <v>260</v>
      </c>
      <c r="F213">
        <f t="shared" si="6"/>
        <v>81.099999999999994</v>
      </c>
      <c r="G213" s="18">
        <f t="shared" si="7"/>
        <v>343.33333333333331</v>
      </c>
    </row>
    <row r="214" spans="2:7" x14ac:dyDescent="0.25">
      <c r="B214" s="17">
        <v>81.099999999999994</v>
      </c>
      <c r="C214" s="18">
        <v>343.33333333333331</v>
      </c>
      <c r="F214">
        <f t="shared" si="6"/>
        <v>81.2</v>
      </c>
      <c r="G214" s="18">
        <f t="shared" si="7"/>
        <v>250.8</v>
      </c>
    </row>
    <row r="215" spans="2:7" x14ac:dyDescent="0.25">
      <c r="B215" s="17">
        <v>81.2</v>
      </c>
      <c r="C215" s="18">
        <v>250.8</v>
      </c>
      <c r="F215">
        <f t="shared" si="6"/>
        <v>81.3</v>
      </c>
      <c r="G215" s="18">
        <f t="shared" si="7"/>
        <v>243.75</v>
      </c>
    </row>
    <row r="216" spans="2:7" x14ac:dyDescent="0.25">
      <c r="B216" s="17">
        <v>81.3</v>
      </c>
      <c r="C216" s="18">
        <v>243.75</v>
      </c>
      <c r="F216">
        <f t="shared" si="6"/>
        <v>81.400000000000006</v>
      </c>
      <c r="G216" s="18">
        <f t="shared" si="7"/>
        <v>238</v>
      </c>
    </row>
    <row r="217" spans="2:7" x14ac:dyDescent="0.25">
      <c r="B217" s="17">
        <v>81.400000000000006</v>
      </c>
      <c r="C217" s="18">
        <v>238</v>
      </c>
      <c r="F217">
        <f t="shared" si="6"/>
        <v>81.5</v>
      </c>
      <c r="G217" s="18">
        <f t="shared" si="7"/>
        <v>186.6</v>
      </c>
    </row>
    <row r="218" spans="2:7" x14ac:dyDescent="0.25">
      <c r="B218" s="17">
        <v>81.5</v>
      </c>
      <c r="C218" s="18">
        <v>186.6</v>
      </c>
      <c r="F218">
        <f t="shared" si="6"/>
        <v>81.599999999999994</v>
      </c>
      <c r="G218" s="18">
        <f t="shared" si="7"/>
        <v>338.5</v>
      </c>
    </row>
    <row r="219" spans="2:7" x14ac:dyDescent="0.25">
      <c r="B219" s="17">
        <v>81.599999999999994</v>
      </c>
      <c r="C219" s="18">
        <v>338.5</v>
      </c>
      <c r="F219">
        <f t="shared" si="6"/>
        <v>81.7</v>
      </c>
      <c r="G219" s="18">
        <f t="shared" si="7"/>
        <v>278</v>
      </c>
    </row>
    <row r="220" spans="2:7" x14ac:dyDescent="0.25">
      <c r="B220" s="17">
        <v>81.7</v>
      </c>
      <c r="C220" s="18">
        <v>278</v>
      </c>
      <c r="F220">
        <f t="shared" si="6"/>
        <v>81.8</v>
      </c>
      <c r="G220" s="18">
        <f t="shared" si="7"/>
        <v>251.66666666666666</v>
      </c>
    </row>
    <row r="221" spans="2:7" x14ac:dyDescent="0.25">
      <c r="B221" s="17">
        <v>81.8</v>
      </c>
      <c r="C221" s="18">
        <v>251.66666666666666</v>
      </c>
      <c r="F221">
        <f t="shared" si="6"/>
        <v>81.900000000000006</v>
      </c>
      <c r="G221" s="18">
        <f t="shared" si="7"/>
        <v>273.5</v>
      </c>
    </row>
    <row r="222" spans="2:7" x14ac:dyDescent="0.25">
      <c r="B222" s="17">
        <v>81.900000000000006</v>
      </c>
      <c r="C222" s="18">
        <v>273.5</v>
      </c>
      <c r="F222">
        <f t="shared" si="6"/>
        <v>82</v>
      </c>
      <c r="G222" s="18">
        <f t="shared" si="7"/>
        <v>251.66666666666666</v>
      </c>
    </row>
    <row r="223" spans="2:7" x14ac:dyDescent="0.25">
      <c r="B223" s="17">
        <v>82</v>
      </c>
      <c r="C223" s="18">
        <v>251.66666666666666</v>
      </c>
      <c r="F223">
        <f t="shared" si="6"/>
        <v>82.1</v>
      </c>
      <c r="G223" s="18">
        <f t="shared" si="7"/>
        <v>215</v>
      </c>
    </row>
    <row r="224" spans="2:7" x14ac:dyDescent="0.25">
      <c r="B224" s="17">
        <v>82.1</v>
      </c>
      <c r="C224" s="18">
        <v>215</v>
      </c>
      <c r="F224">
        <f t="shared" si="6"/>
        <v>82.2</v>
      </c>
      <c r="G224" s="18">
        <f t="shared" si="7"/>
        <v>173.5</v>
      </c>
    </row>
    <row r="225" spans="2:7" x14ac:dyDescent="0.25">
      <c r="B225" s="17">
        <v>82.2</v>
      </c>
      <c r="C225" s="18">
        <v>173.5</v>
      </c>
      <c r="F225">
        <f t="shared" si="6"/>
        <v>82.3</v>
      </c>
      <c r="G225" s="18">
        <f t="shared" si="7"/>
        <v>264.66666666666669</v>
      </c>
    </row>
    <row r="226" spans="2:7" x14ac:dyDescent="0.25">
      <c r="B226" s="17">
        <v>82.3</v>
      </c>
      <c r="C226" s="18">
        <v>264.66666666666669</v>
      </c>
      <c r="F226">
        <f t="shared" si="6"/>
        <v>82.5</v>
      </c>
      <c r="G226" s="18">
        <f t="shared" si="7"/>
        <v>225.16666666666666</v>
      </c>
    </row>
    <row r="227" spans="2:7" x14ac:dyDescent="0.25">
      <c r="B227" s="17">
        <v>82.5</v>
      </c>
      <c r="C227" s="18">
        <v>225.16666666666666</v>
      </c>
      <c r="F227">
        <f t="shared" si="6"/>
        <v>82.8</v>
      </c>
      <c r="G227" s="18">
        <f t="shared" si="7"/>
        <v>256.71428571428572</v>
      </c>
    </row>
    <row r="228" spans="2:7" x14ac:dyDescent="0.25">
      <c r="B228" s="17">
        <v>82.8</v>
      </c>
      <c r="C228" s="18">
        <v>256.71428571428572</v>
      </c>
      <c r="F228">
        <f t="shared" si="6"/>
        <v>82.9</v>
      </c>
      <c r="G228" s="18">
        <f t="shared" si="7"/>
        <v>209</v>
      </c>
    </row>
    <row r="229" spans="2:7" x14ac:dyDescent="0.25">
      <c r="B229" s="17">
        <v>82.9</v>
      </c>
      <c r="C229" s="18">
        <v>209</v>
      </c>
      <c r="F229">
        <f t="shared" si="6"/>
        <v>83</v>
      </c>
      <c r="G229" s="18">
        <f t="shared" si="7"/>
        <v>298.8</v>
      </c>
    </row>
    <row r="230" spans="2:7" x14ac:dyDescent="0.25">
      <c r="B230" s="17">
        <v>83</v>
      </c>
      <c r="C230" s="18">
        <v>298.8</v>
      </c>
      <c r="F230">
        <f t="shared" si="6"/>
        <v>83.1</v>
      </c>
      <c r="G230" s="18">
        <f t="shared" si="7"/>
        <v>222.5</v>
      </c>
    </row>
    <row r="231" spans="2:7" x14ac:dyDescent="0.25">
      <c r="B231" s="17">
        <v>83.1</v>
      </c>
      <c r="C231" s="18">
        <v>222.5</v>
      </c>
      <c r="F231">
        <f t="shared" si="6"/>
        <v>83.2</v>
      </c>
      <c r="G231" s="18">
        <f t="shared" si="7"/>
        <v>283.5</v>
      </c>
    </row>
    <row r="232" spans="2:7" x14ac:dyDescent="0.25">
      <c r="B232" s="17">
        <v>83.2</v>
      </c>
      <c r="C232" s="18">
        <v>283.5</v>
      </c>
      <c r="F232">
        <f t="shared" si="6"/>
        <v>83.3</v>
      </c>
      <c r="G232" s="18">
        <f t="shared" si="7"/>
        <v>261.5</v>
      </c>
    </row>
    <row r="233" spans="2:7" x14ac:dyDescent="0.25">
      <c r="B233" s="17">
        <v>83.3</v>
      </c>
      <c r="C233" s="18">
        <v>261.5</v>
      </c>
      <c r="F233">
        <f t="shared" si="6"/>
        <v>83.4</v>
      </c>
      <c r="G233" s="18">
        <f t="shared" si="7"/>
        <v>234.33333333333334</v>
      </c>
    </row>
    <row r="234" spans="2:7" x14ac:dyDescent="0.25">
      <c r="B234" s="17">
        <v>83.4</v>
      </c>
      <c r="C234" s="18">
        <v>234.33333333333334</v>
      </c>
      <c r="F234">
        <f t="shared" si="6"/>
        <v>83.5</v>
      </c>
      <c r="G234" s="18">
        <f t="shared" si="7"/>
        <v>220</v>
      </c>
    </row>
    <row r="235" spans="2:7" x14ac:dyDescent="0.25">
      <c r="B235" s="17">
        <v>83.5</v>
      </c>
      <c r="C235" s="18">
        <v>220</v>
      </c>
      <c r="F235">
        <f t="shared" si="6"/>
        <v>83.6</v>
      </c>
      <c r="G235" s="18">
        <f t="shared" si="7"/>
        <v>318.5</v>
      </c>
    </row>
    <row r="236" spans="2:7" x14ac:dyDescent="0.25">
      <c r="B236" s="17">
        <v>83.6</v>
      </c>
      <c r="C236" s="18">
        <v>318.5</v>
      </c>
      <c r="F236">
        <f t="shared" si="6"/>
        <v>83.7</v>
      </c>
      <c r="G236" s="18">
        <f t="shared" si="7"/>
        <v>264.33333333333331</v>
      </c>
    </row>
    <row r="237" spans="2:7" x14ac:dyDescent="0.25">
      <c r="B237" s="17">
        <v>83.7</v>
      </c>
      <c r="C237" s="18">
        <v>264.33333333333331</v>
      </c>
      <c r="F237">
        <f t="shared" si="6"/>
        <v>83.8</v>
      </c>
      <c r="G237" s="18">
        <f t="shared" si="7"/>
        <v>258.75</v>
      </c>
    </row>
    <row r="238" spans="2:7" x14ac:dyDescent="0.25">
      <c r="B238" s="17">
        <v>83.8</v>
      </c>
      <c r="C238" s="18">
        <v>258.75</v>
      </c>
      <c r="F238">
        <f t="shared" si="6"/>
        <v>83.9</v>
      </c>
      <c r="G238" s="18">
        <f t="shared" si="7"/>
        <v>302.33333333333331</v>
      </c>
    </row>
    <row r="239" spans="2:7" x14ac:dyDescent="0.25">
      <c r="B239" s="17">
        <v>83.9</v>
      </c>
      <c r="C239" s="18">
        <v>302.33333333333331</v>
      </c>
      <c r="F239">
        <f t="shared" si="6"/>
        <v>84</v>
      </c>
      <c r="G239" s="18">
        <f t="shared" si="7"/>
        <v>246</v>
      </c>
    </row>
    <row r="240" spans="2:7" x14ac:dyDescent="0.25">
      <c r="B240" s="17">
        <v>84</v>
      </c>
      <c r="C240" s="18">
        <v>246</v>
      </c>
      <c r="F240">
        <f t="shared" si="6"/>
        <v>84.1</v>
      </c>
      <c r="G240" s="18">
        <f t="shared" si="7"/>
        <v>320.33333333333331</v>
      </c>
    </row>
    <row r="241" spans="2:7" x14ac:dyDescent="0.25">
      <c r="B241" s="17">
        <v>84.1</v>
      </c>
      <c r="C241" s="18">
        <v>320.33333333333331</v>
      </c>
      <c r="F241">
        <f t="shared" si="6"/>
        <v>84.2</v>
      </c>
      <c r="G241" s="18">
        <f t="shared" si="7"/>
        <v>255.33333333333334</v>
      </c>
    </row>
    <row r="242" spans="2:7" x14ac:dyDescent="0.25">
      <c r="B242" s="17">
        <v>84.2</v>
      </c>
      <c r="C242" s="18">
        <v>255.33333333333334</v>
      </c>
      <c r="F242">
        <f t="shared" si="6"/>
        <v>84.3</v>
      </c>
      <c r="G242" s="18">
        <f t="shared" si="7"/>
        <v>229.5</v>
      </c>
    </row>
    <row r="243" spans="2:7" x14ac:dyDescent="0.25">
      <c r="B243" s="17">
        <v>84.3</v>
      </c>
      <c r="C243" s="18">
        <v>229.5</v>
      </c>
      <c r="F243">
        <f t="shared" si="6"/>
        <v>84.4</v>
      </c>
      <c r="G243" s="18">
        <f t="shared" si="7"/>
        <v>231.66666666666666</v>
      </c>
    </row>
    <row r="244" spans="2:7" x14ac:dyDescent="0.25">
      <c r="B244" s="17">
        <v>84.4</v>
      </c>
      <c r="C244" s="18">
        <v>231.66666666666666</v>
      </c>
      <c r="F244">
        <f t="shared" si="6"/>
        <v>84.5</v>
      </c>
      <c r="G244" s="18">
        <f t="shared" si="7"/>
        <v>236.5</v>
      </c>
    </row>
    <row r="245" spans="2:7" x14ac:dyDescent="0.25">
      <c r="B245" s="17">
        <v>84.5</v>
      </c>
      <c r="C245" s="18">
        <v>236.5</v>
      </c>
      <c r="F245">
        <f t="shared" si="6"/>
        <v>84.6</v>
      </c>
      <c r="G245" s="18">
        <f t="shared" si="7"/>
        <v>268</v>
      </c>
    </row>
    <row r="246" spans="2:7" x14ac:dyDescent="0.25">
      <c r="B246" s="17">
        <v>84.6</v>
      </c>
      <c r="C246" s="18">
        <v>268</v>
      </c>
      <c r="F246">
        <f t="shared" si="6"/>
        <v>84.8</v>
      </c>
      <c r="G246" s="18">
        <f t="shared" si="7"/>
        <v>341</v>
      </c>
    </row>
    <row r="247" spans="2:7" x14ac:dyDescent="0.25">
      <c r="B247" s="17">
        <v>84.8</v>
      </c>
      <c r="C247" s="18">
        <v>341</v>
      </c>
      <c r="F247">
        <f t="shared" si="6"/>
        <v>84.9</v>
      </c>
      <c r="G247" s="18">
        <f t="shared" si="7"/>
        <v>190</v>
      </c>
    </row>
    <row r="248" spans="2:7" x14ac:dyDescent="0.25">
      <c r="B248" s="17">
        <v>84.9</v>
      </c>
      <c r="C248" s="18">
        <v>190</v>
      </c>
      <c r="F248">
        <f t="shared" si="6"/>
        <v>85</v>
      </c>
      <c r="G248" s="18">
        <f t="shared" si="7"/>
        <v>263.5</v>
      </c>
    </row>
    <row r="249" spans="2:7" x14ac:dyDescent="0.25">
      <c r="B249" s="17">
        <v>85</v>
      </c>
      <c r="C249" s="18">
        <v>263.5</v>
      </c>
      <c r="F249">
        <f t="shared" si="6"/>
        <v>85.1</v>
      </c>
      <c r="G249" s="18">
        <f t="shared" si="7"/>
        <v>332</v>
      </c>
    </row>
    <row r="250" spans="2:7" x14ac:dyDescent="0.25">
      <c r="B250" s="17">
        <v>85.1</v>
      </c>
      <c r="C250" s="18">
        <v>332</v>
      </c>
      <c r="F250">
        <f t="shared" si="6"/>
        <v>85.2</v>
      </c>
      <c r="G250" s="18">
        <f t="shared" si="7"/>
        <v>376</v>
      </c>
    </row>
    <row r="251" spans="2:7" x14ac:dyDescent="0.25">
      <c r="B251" s="17">
        <v>85.2</v>
      </c>
      <c r="C251" s="18">
        <v>376</v>
      </c>
      <c r="F251">
        <f t="shared" si="6"/>
        <v>85.3</v>
      </c>
      <c r="G251" s="18">
        <f t="shared" si="7"/>
        <v>263.33333333333331</v>
      </c>
    </row>
    <row r="252" spans="2:7" x14ac:dyDescent="0.25">
      <c r="B252" s="17">
        <v>85.3</v>
      </c>
      <c r="C252" s="18">
        <v>263.33333333333331</v>
      </c>
      <c r="F252">
        <f t="shared" si="6"/>
        <v>85.4</v>
      </c>
      <c r="G252" s="18">
        <f t="shared" si="7"/>
        <v>204</v>
      </c>
    </row>
    <row r="253" spans="2:7" x14ac:dyDescent="0.25">
      <c r="B253" s="17">
        <v>85.4</v>
      </c>
      <c r="C253" s="18">
        <v>204</v>
      </c>
      <c r="F253">
        <f t="shared" si="6"/>
        <v>85.5</v>
      </c>
      <c r="G253" s="18">
        <f t="shared" si="7"/>
        <v>225.83333333333334</v>
      </c>
    </row>
    <row r="254" spans="2:7" x14ac:dyDescent="0.25">
      <c r="B254" s="17">
        <v>85.5</v>
      </c>
      <c r="C254" s="18">
        <v>225.83333333333334</v>
      </c>
      <c r="F254">
        <f t="shared" si="6"/>
        <v>85.6</v>
      </c>
      <c r="G254" s="18">
        <f t="shared" si="7"/>
        <v>264.71428571428572</v>
      </c>
    </row>
    <row r="255" spans="2:7" x14ac:dyDescent="0.25">
      <c r="B255" s="17">
        <v>85.6</v>
      </c>
      <c r="C255" s="18">
        <v>264.71428571428572</v>
      </c>
      <c r="F255">
        <f t="shared" si="6"/>
        <v>85.7</v>
      </c>
      <c r="G255" s="18">
        <f t="shared" si="7"/>
        <v>307.66666666666669</v>
      </c>
    </row>
    <row r="256" spans="2:7" x14ac:dyDescent="0.25">
      <c r="B256" s="17">
        <v>85.7</v>
      </c>
      <c r="C256" s="18">
        <v>307.66666666666669</v>
      </c>
      <c r="F256">
        <f t="shared" si="6"/>
        <v>85.9</v>
      </c>
      <c r="G256" s="18">
        <f t="shared" si="7"/>
        <v>275.5</v>
      </c>
    </row>
    <row r="257" spans="2:7" x14ac:dyDescent="0.25">
      <c r="B257" s="17">
        <v>85.9</v>
      </c>
      <c r="C257" s="18">
        <v>275.5</v>
      </c>
      <c r="F257">
        <f t="shared" si="6"/>
        <v>86</v>
      </c>
      <c r="G257" s="18">
        <f t="shared" si="7"/>
        <v>288.33333333333331</v>
      </c>
    </row>
    <row r="258" spans="2:7" x14ac:dyDescent="0.25">
      <c r="B258" s="17">
        <v>86</v>
      </c>
      <c r="C258" s="18">
        <v>288.33333333333331</v>
      </c>
      <c r="F258">
        <f t="shared" si="6"/>
        <v>86.1</v>
      </c>
      <c r="G258" s="18">
        <f t="shared" si="7"/>
        <v>287</v>
      </c>
    </row>
    <row r="259" spans="2:7" x14ac:dyDescent="0.25">
      <c r="B259" s="17">
        <v>86.1</v>
      </c>
      <c r="C259" s="18">
        <v>287</v>
      </c>
      <c r="F259">
        <f t="shared" si="6"/>
        <v>86.2</v>
      </c>
      <c r="G259" s="18">
        <f t="shared" si="7"/>
        <v>293.33333333333331</v>
      </c>
    </row>
    <row r="260" spans="2:7" x14ac:dyDescent="0.25">
      <c r="B260" s="17">
        <v>86.2</v>
      </c>
      <c r="C260" s="18">
        <v>293.33333333333331</v>
      </c>
      <c r="F260">
        <f t="shared" si="6"/>
        <v>86.3</v>
      </c>
      <c r="G260" s="18">
        <f t="shared" si="7"/>
        <v>351</v>
      </c>
    </row>
    <row r="261" spans="2:7" x14ac:dyDescent="0.25">
      <c r="B261" s="17">
        <v>86.3</v>
      </c>
      <c r="C261" s="18">
        <v>351</v>
      </c>
      <c r="F261">
        <f t="shared" ref="F261:F264" si="8">B262</f>
        <v>86.4</v>
      </c>
      <c r="G261" s="18">
        <f t="shared" ref="G261:G264" si="9">C262</f>
        <v>236</v>
      </c>
    </row>
    <row r="262" spans="2:7" x14ac:dyDescent="0.25">
      <c r="B262" s="17">
        <v>86.4</v>
      </c>
      <c r="C262" s="18">
        <v>236</v>
      </c>
      <c r="F262">
        <f t="shared" si="8"/>
        <v>86.5</v>
      </c>
      <c r="G262" s="18">
        <f t="shared" si="9"/>
        <v>307</v>
      </c>
    </row>
    <row r="263" spans="2:7" x14ac:dyDescent="0.25">
      <c r="B263" s="17">
        <v>86.5</v>
      </c>
      <c r="C263" s="18">
        <v>307</v>
      </c>
      <c r="F263">
        <f t="shared" si="8"/>
        <v>86.6</v>
      </c>
      <c r="G263" s="18">
        <f t="shared" si="9"/>
        <v>344.5</v>
      </c>
    </row>
    <row r="264" spans="2:7" x14ac:dyDescent="0.25">
      <c r="B264" s="17">
        <v>86.6</v>
      </c>
      <c r="C264" s="18">
        <v>344.5</v>
      </c>
      <c r="F264">
        <f t="shared" si="8"/>
        <v>86.7</v>
      </c>
      <c r="G264" s="18">
        <f t="shared" si="9"/>
        <v>190</v>
      </c>
    </row>
    <row r="265" spans="2:7" x14ac:dyDescent="0.25">
      <c r="B265" s="17">
        <v>86.7</v>
      </c>
      <c r="C265" s="18">
        <v>190</v>
      </c>
    </row>
    <row r="266" spans="2:7" x14ac:dyDescent="0.25">
      <c r="B266" s="17">
        <v>86.8</v>
      </c>
      <c r="C266" s="18">
        <v>279</v>
      </c>
    </row>
    <row r="267" spans="2:7" x14ac:dyDescent="0.25">
      <c r="B267" s="17">
        <v>86.9</v>
      </c>
      <c r="C267" s="18">
        <v>279</v>
      </c>
    </row>
    <row r="268" spans="2:7" x14ac:dyDescent="0.25">
      <c r="B268" s="17">
        <v>87</v>
      </c>
      <c r="C268" s="18">
        <v>232</v>
      </c>
    </row>
    <row r="269" spans="2:7" x14ac:dyDescent="0.25">
      <c r="B269" s="17">
        <v>87.1</v>
      </c>
      <c r="C269" s="18">
        <v>308</v>
      </c>
    </row>
    <row r="270" spans="2:7" x14ac:dyDescent="0.25">
      <c r="B270" s="17">
        <v>87.2</v>
      </c>
      <c r="C270" s="18">
        <v>411</v>
      </c>
    </row>
    <row r="271" spans="2:7" x14ac:dyDescent="0.25">
      <c r="B271" s="17">
        <v>87.3</v>
      </c>
      <c r="C271" s="18">
        <v>325.5</v>
      </c>
    </row>
    <row r="272" spans="2:7" x14ac:dyDescent="0.25">
      <c r="B272" s="17">
        <v>87.4</v>
      </c>
      <c r="C272" s="18">
        <v>287.83333333333331</v>
      </c>
    </row>
    <row r="273" spans="2:3" x14ac:dyDescent="0.25">
      <c r="B273" s="17">
        <v>87.5</v>
      </c>
      <c r="C273" s="18">
        <v>278.5</v>
      </c>
    </row>
    <row r="274" spans="2:3" x14ac:dyDescent="0.25">
      <c r="B274" s="17">
        <v>87.6</v>
      </c>
      <c r="C274" s="18">
        <v>274.5</v>
      </c>
    </row>
    <row r="275" spans="2:3" x14ac:dyDescent="0.25">
      <c r="B275" s="17">
        <v>87.7</v>
      </c>
      <c r="C275" s="18">
        <v>341.33333333333331</v>
      </c>
    </row>
    <row r="276" spans="2:3" x14ac:dyDescent="0.25">
      <c r="B276" s="17">
        <v>87.8</v>
      </c>
      <c r="C276" s="18">
        <v>265.83333333333331</v>
      </c>
    </row>
    <row r="277" spans="2:3" x14ac:dyDescent="0.25">
      <c r="B277" s="17">
        <v>87.9</v>
      </c>
      <c r="C277" s="18">
        <v>306</v>
      </c>
    </row>
    <row r="278" spans="2:3" x14ac:dyDescent="0.25">
      <c r="B278" s="17">
        <v>88</v>
      </c>
      <c r="C278" s="18">
        <v>451</v>
      </c>
    </row>
    <row r="279" spans="2:3" x14ac:dyDescent="0.25">
      <c r="B279" s="17">
        <v>88.1</v>
      </c>
      <c r="C279" s="18">
        <v>262.8</v>
      </c>
    </row>
    <row r="280" spans="2:3" x14ac:dyDescent="0.25">
      <c r="B280" s="17">
        <v>88.2</v>
      </c>
      <c r="C280" s="18">
        <v>302</v>
      </c>
    </row>
    <row r="281" spans="2:3" x14ac:dyDescent="0.25">
      <c r="B281" s="17">
        <v>88.3</v>
      </c>
      <c r="C281" s="18">
        <v>275</v>
      </c>
    </row>
    <row r="282" spans="2:3" x14ac:dyDescent="0.25">
      <c r="B282" s="17">
        <v>88.4</v>
      </c>
      <c r="C282" s="18">
        <v>350</v>
      </c>
    </row>
    <row r="283" spans="2:3" x14ac:dyDescent="0.25">
      <c r="B283" s="17">
        <v>88.5</v>
      </c>
      <c r="C283" s="18">
        <v>233.5</v>
      </c>
    </row>
    <row r="284" spans="2:3" x14ac:dyDescent="0.25">
      <c r="B284" s="17">
        <v>88.6</v>
      </c>
      <c r="C284" s="18">
        <v>174</v>
      </c>
    </row>
    <row r="285" spans="2:3" x14ac:dyDescent="0.25">
      <c r="B285" s="17">
        <v>88.7</v>
      </c>
      <c r="C285" s="18">
        <v>308.25</v>
      </c>
    </row>
    <row r="286" spans="2:3" x14ac:dyDescent="0.25">
      <c r="B286" s="17">
        <v>88.8</v>
      </c>
      <c r="C286" s="18">
        <v>258.25</v>
      </c>
    </row>
    <row r="287" spans="2:3" x14ac:dyDescent="0.25">
      <c r="B287" s="17">
        <v>88.9</v>
      </c>
      <c r="C287" s="18">
        <v>286.66666666666669</v>
      </c>
    </row>
    <row r="288" spans="2:3" x14ac:dyDescent="0.25">
      <c r="B288" s="17">
        <v>89</v>
      </c>
      <c r="C288" s="18">
        <v>263.2</v>
      </c>
    </row>
    <row r="289" spans="2:3" x14ac:dyDescent="0.25">
      <c r="B289" s="17">
        <v>89.1</v>
      </c>
      <c r="C289" s="18">
        <v>335</v>
      </c>
    </row>
    <row r="290" spans="2:3" x14ac:dyDescent="0.25">
      <c r="B290" s="17">
        <v>89.2</v>
      </c>
      <c r="C290" s="18">
        <v>341</v>
      </c>
    </row>
    <row r="291" spans="2:3" x14ac:dyDescent="0.25">
      <c r="B291" s="17">
        <v>89.3</v>
      </c>
      <c r="C291" s="18">
        <v>358</v>
      </c>
    </row>
    <row r="292" spans="2:3" x14ac:dyDescent="0.25">
      <c r="B292" s="17">
        <v>89.4</v>
      </c>
      <c r="C292" s="18">
        <v>221.33333333333334</v>
      </c>
    </row>
    <row r="293" spans="2:3" x14ac:dyDescent="0.25">
      <c r="B293" s="17">
        <v>89.5</v>
      </c>
      <c r="C293" s="18">
        <v>201</v>
      </c>
    </row>
    <row r="294" spans="2:3" x14ac:dyDescent="0.25">
      <c r="B294" s="17">
        <v>89.8</v>
      </c>
      <c r="C294" s="18">
        <v>282.25</v>
      </c>
    </row>
    <row r="295" spans="2:3" x14ac:dyDescent="0.25">
      <c r="B295" s="17">
        <v>89.9</v>
      </c>
      <c r="C295" s="18">
        <v>291</v>
      </c>
    </row>
    <row r="296" spans="2:3" x14ac:dyDescent="0.25">
      <c r="B296" s="17">
        <v>90</v>
      </c>
      <c r="C296" s="18">
        <v>303.5</v>
      </c>
    </row>
    <row r="297" spans="2:3" x14ac:dyDescent="0.25">
      <c r="B297" s="17">
        <v>90.1</v>
      </c>
      <c r="C297" s="18">
        <v>462</v>
      </c>
    </row>
    <row r="298" spans="2:3" x14ac:dyDescent="0.25">
      <c r="B298" s="17">
        <v>90.2</v>
      </c>
      <c r="C298" s="18">
        <v>218</v>
      </c>
    </row>
    <row r="299" spans="2:3" x14ac:dyDescent="0.25">
      <c r="B299" s="17">
        <v>90.3</v>
      </c>
      <c r="C299" s="18">
        <v>377.33333333333331</v>
      </c>
    </row>
    <row r="300" spans="2:3" x14ac:dyDescent="0.25">
      <c r="B300" s="17">
        <v>90.4</v>
      </c>
      <c r="C300" s="18">
        <v>331.66666666666669</v>
      </c>
    </row>
    <row r="301" spans="2:3" x14ac:dyDescent="0.25">
      <c r="B301" s="17">
        <v>90.5</v>
      </c>
      <c r="C301" s="18">
        <v>238</v>
      </c>
    </row>
    <row r="302" spans="2:3" x14ac:dyDescent="0.25">
      <c r="B302" s="17">
        <v>90.6</v>
      </c>
      <c r="C302" s="18">
        <v>371.75</v>
      </c>
    </row>
    <row r="303" spans="2:3" x14ac:dyDescent="0.25">
      <c r="B303" s="17">
        <v>90.7</v>
      </c>
      <c r="C303" s="18">
        <v>364</v>
      </c>
    </row>
    <row r="304" spans="2:3" x14ac:dyDescent="0.25">
      <c r="B304" s="17">
        <v>90.8</v>
      </c>
      <c r="C304" s="18">
        <v>236</v>
      </c>
    </row>
    <row r="305" spans="2:3" x14ac:dyDescent="0.25">
      <c r="B305" s="17">
        <v>90.9</v>
      </c>
      <c r="C305" s="18">
        <v>391</v>
      </c>
    </row>
    <row r="306" spans="2:3" x14ac:dyDescent="0.25">
      <c r="B306" s="17">
        <v>91</v>
      </c>
      <c r="C306" s="18">
        <v>371</v>
      </c>
    </row>
    <row r="307" spans="2:3" x14ac:dyDescent="0.25">
      <c r="B307" s="17">
        <v>91.1</v>
      </c>
      <c r="C307" s="18">
        <v>218</v>
      </c>
    </row>
    <row r="308" spans="2:3" x14ac:dyDescent="0.25">
      <c r="B308" s="17">
        <v>91.2</v>
      </c>
      <c r="C308" s="18">
        <v>251</v>
      </c>
    </row>
    <row r="309" spans="2:3" x14ac:dyDescent="0.25">
      <c r="B309" s="17">
        <v>91.3</v>
      </c>
      <c r="C309" s="18">
        <v>253.5</v>
      </c>
    </row>
    <row r="310" spans="2:3" x14ac:dyDescent="0.25">
      <c r="B310" s="17">
        <v>91.4</v>
      </c>
      <c r="C310" s="18">
        <v>381.5</v>
      </c>
    </row>
    <row r="311" spans="2:3" x14ac:dyDescent="0.25">
      <c r="B311" s="17">
        <v>91.5</v>
      </c>
      <c r="C311" s="18">
        <v>279.33333333333331</v>
      </c>
    </row>
    <row r="312" spans="2:3" x14ac:dyDescent="0.25">
      <c r="B312" s="17">
        <v>91.6</v>
      </c>
      <c r="C312" s="18">
        <v>353.5</v>
      </c>
    </row>
    <row r="313" spans="2:3" x14ac:dyDescent="0.25">
      <c r="B313" s="17">
        <v>91.7</v>
      </c>
      <c r="C313" s="18">
        <v>247.5</v>
      </c>
    </row>
    <row r="314" spans="2:3" x14ac:dyDescent="0.25">
      <c r="B314" s="17">
        <v>91.8</v>
      </c>
      <c r="C314" s="18">
        <v>338</v>
      </c>
    </row>
    <row r="315" spans="2:3" x14ac:dyDescent="0.25">
      <c r="B315" s="17">
        <v>91.9</v>
      </c>
      <c r="C315" s="18">
        <v>388.5</v>
      </c>
    </row>
    <row r="316" spans="2:3" x14ac:dyDescent="0.25">
      <c r="B316" s="17">
        <v>92</v>
      </c>
      <c r="C316" s="18">
        <v>314.33333333333331</v>
      </c>
    </row>
    <row r="317" spans="2:3" x14ac:dyDescent="0.25">
      <c r="B317" s="17">
        <v>92.1</v>
      </c>
      <c r="C317" s="18">
        <v>291</v>
      </c>
    </row>
    <row r="318" spans="2:3" x14ac:dyDescent="0.25">
      <c r="B318" s="17">
        <v>92.2</v>
      </c>
      <c r="C318" s="18">
        <v>353.33333333333331</v>
      </c>
    </row>
    <row r="319" spans="2:3" x14ac:dyDescent="0.25">
      <c r="B319" s="17">
        <v>92.3</v>
      </c>
      <c r="C319" s="18">
        <v>333.33333333333331</v>
      </c>
    </row>
    <row r="320" spans="2:3" x14ac:dyDescent="0.25">
      <c r="B320" s="17">
        <v>92.4</v>
      </c>
      <c r="C320" s="18">
        <v>283.66666666666669</v>
      </c>
    </row>
    <row r="321" spans="2:3" x14ac:dyDescent="0.25">
      <c r="B321" s="17">
        <v>92.5</v>
      </c>
      <c r="C321" s="18">
        <v>280.8</v>
      </c>
    </row>
    <row r="322" spans="2:3" x14ac:dyDescent="0.25">
      <c r="B322" s="17">
        <v>92.6</v>
      </c>
      <c r="C322" s="18">
        <v>423</v>
      </c>
    </row>
    <row r="323" spans="2:3" x14ac:dyDescent="0.25">
      <c r="B323" s="17">
        <v>92.8</v>
      </c>
      <c r="C323" s="18">
        <v>273.66666666666669</v>
      </c>
    </row>
    <row r="324" spans="2:3" x14ac:dyDescent="0.25">
      <c r="B324" s="17">
        <v>93</v>
      </c>
      <c r="C324" s="18">
        <v>399</v>
      </c>
    </row>
    <row r="325" spans="2:3" x14ac:dyDescent="0.25">
      <c r="B325" s="17">
        <v>93.1</v>
      </c>
      <c r="C325" s="18">
        <v>314</v>
      </c>
    </row>
    <row r="326" spans="2:3" x14ac:dyDescent="0.25">
      <c r="B326" s="17">
        <v>93.2</v>
      </c>
      <c r="C326" s="18">
        <v>265.2</v>
      </c>
    </row>
    <row r="327" spans="2:3" x14ac:dyDescent="0.25">
      <c r="B327" s="17">
        <v>93.3</v>
      </c>
      <c r="C327" s="18">
        <v>328.33333333333331</v>
      </c>
    </row>
    <row r="328" spans="2:3" x14ac:dyDescent="0.25">
      <c r="B328" s="17">
        <v>93.4</v>
      </c>
      <c r="C328" s="18">
        <v>330.5</v>
      </c>
    </row>
    <row r="329" spans="2:3" x14ac:dyDescent="0.25">
      <c r="B329" s="17">
        <v>93.5</v>
      </c>
      <c r="C329" s="18">
        <v>508</v>
      </c>
    </row>
    <row r="330" spans="2:3" x14ac:dyDescent="0.25">
      <c r="B330" s="17">
        <v>93.6</v>
      </c>
      <c r="C330" s="18">
        <v>334.33333333333331</v>
      </c>
    </row>
    <row r="331" spans="2:3" x14ac:dyDescent="0.25">
      <c r="B331" s="17">
        <v>93.7</v>
      </c>
      <c r="C331" s="18">
        <v>327</v>
      </c>
    </row>
    <row r="332" spans="2:3" x14ac:dyDescent="0.25">
      <c r="B332" s="17">
        <v>93.8</v>
      </c>
      <c r="C332" s="18">
        <v>335</v>
      </c>
    </row>
    <row r="333" spans="2:3" x14ac:dyDescent="0.25">
      <c r="B333" s="17">
        <v>93.9</v>
      </c>
      <c r="C333" s="18">
        <v>279.5</v>
      </c>
    </row>
    <row r="334" spans="2:3" x14ac:dyDescent="0.25">
      <c r="B334" s="17">
        <v>94</v>
      </c>
      <c r="C334" s="18">
        <v>332</v>
      </c>
    </row>
    <row r="335" spans="2:3" x14ac:dyDescent="0.25">
      <c r="B335" s="17">
        <v>94.1</v>
      </c>
      <c r="C335" s="18">
        <v>321.66666666666669</v>
      </c>
    </row>
    <row r="336" spans="2:3" x14ac:dyDescent="0.25">
      <c r="B336" s="17">
        <v>94.2</v>
      </c>
      <c r="C336" s="18">
        <v>286</v>
      </c>
    </row>
    <row r="337" spans="2:3" x14ac:dyDescent="0.25">
      <c r="B337" s="17">
        <v>94.3</v>
      </c>
      <c r="C337" s="18">
        <v>282.5</v>
      </c>
    </row>
    <row r="338" spans="2:3" x14ac:dyDescent="0.25">
      <c r="B338" s="17">
        <v>94.4</v>
      </c>
      <c r="C338" s="18">
        <v>340.5</v>
      </c>
    </row>
    <row r="339" spans="2:3" x14ac:dyDescent="0.25">
      <c r="B339" s="17">
        <v>94.5</v>
      </c>
      <c r="C339" s="18">
        <v>348.75</v>
      </c>
    </row>
    <row r="340" spans="2:3" x14ac:dyDescent="0.25">
      <c r="B340" s="17">
        <v>94.6</v>
      </c>
      <c r="C340" s="18">
        <v>366.5</v>
      </c>
    </row>
    <row r="341" spans="2:3" x14ac:dyDescent="0.25">
      <c r="B341" s="17">
        <v>94.7</v>
      </c>
      <c r="C341" s="18">
        <v>462</v>
      </c>
    </row>
    <row r="342" spans="2:3" x14ac:dyDescent="0.25">
      <c r="B342" s="17">
        <v>94.8</v>
      </c>
      <c r="C342" s="18">
        <v>338</v>
      </c>
    </row>
    <row r="343" spans="2:3" x14ac:dyDescent="0.25">
      <c r="B343" s="17">
        <v>95</v>
      </c>
      <c r="C343" s="18">
        <v>295.5</v>
      </c>
    </row>
    <row r="344" spans="2:3" x14ac:dyDescent="0.25">
      <c r="B344" s="17">
        <v>95.4</v>
      </c>
      <c r="C344" s="18">
        <v>264</v>
      </c>
    </row>
    <row r="345" spans="2:3" x14ac:dyDescent="0.25">
      <c r="B345" s="17">
        <v>95.8</v>
      </c>
      <c r="C345" s="18">
        <v>264</v>
      </c>
    </row>
    <row r="346" spans="2:3" x14ac:dyDescent="0.25">
      <c r="B346" s="17">
        <v>95.9</v>
      </c>
      <c r="C346" s="18">
        <v>285.25</v>
      </c>
    </row>
    <row r="347" spans="2:3" x14ac:dyDescent="0.25">
      <c r="B347" s="17">
        <v>96</v>
      </c>
      <c r="C347" s="18">
        <v>399</v>
      </c>
    </row>
    <row r="348" spans="2:3" x14ac:dyDescent="0.25">
      <c r="B348" s="17">
        <v>96.1</v>
      </c>
      <c r="C348" s="18">
        <v>286</v>
      </c>
    </row>
    <row r="349" spans="2:3" x14ac:dyDescent="0.25">
      <c r="B349" s="17">
        <v>96.4</v>
      </c>
      <c r="C349" s="18">
        <v>352</v>
      </c>
    </row>
    <row r="350" spans="2:3" x14ac:dyDescent="0.25">
      <c r="B350" s="17">
        <v>96.7</v>
      </c>
      <c r="C350" s="18">
        <v>309</v>
      </c>
    </row>
    <row r="351" spans="2:3" x14ac:dyDescent="0.25">
      <c r="B351" s="17">
        <v>96.8</v>
      </c>
      <c r="C351" s="18">
        <v>379</v>
      </c>
    </row>
    <row r="352" spans="2:3" x14ac:dyDescent="0.25">
      <c r="B352" s="17">
        <v>96.9</v>
      </c>
      <c r="C352" s="18">
        <v>269.5</v>
      </c>
    </row>
    <row r="353" spans="2:3" x14ac:dyDescent="0.25">
      <c r="B353" s="17">
        <v>97.1</v>
      </c>
      <c r="C353" s="18">
        <v>488</v>
      </c>
    </row>
    <row r="354" spans="2:3" x14ac:dyDescent="0.25">
      <c r="B354" s="17">
        <v>97.3</v>
      </c>
      <c r="C354" s="18">
        <v>332</v>
      </c>
    </row>
    <row r="355" spans="2:3" x14ac:dyDescent="0.25">
      <c r="B355" s="17">
        <v>97.4</v>
      </c>
      <c r="C355" s="18">
        <v>300.33333333333331</v>
      </c>
    </row>
    <row r="356" spans="2:3" x14ac:dyDescent="0.25">
      <c r="B356" s="17">
        <v>97.6</v>
      </c>
      <c r="C356" s="18">
        <v>472</v>
      </c>
    </row>
    <row r="357" spans="2:3" x14ac:dyDescent="0.25">
      <c r="B357" s="17">
        <v>97.7</v>
      </c>
      <c r="C357" s="18">
        <v>453</v>
      </c>
    </row>
    <row r="358" spans="2:3" x14ac:dyDescent="0.25">
      <c r="B358" s="17">
        <v>97.9</v>
      </c>
      <c r="C358" s="18">
        <v>314</v>
      </c>
    </row>
    <row r="359" spans="2:3" x14ac:dyDescent="0.25">
      <c r="B359" s="17">
        <v>98</v>
      </c>
      <c r="C359" s="18">
        <v>488</v>
      </c>
    </row>
    <row r="360" spans="2:3" x14ac:dyDescent="0.25">
      <c r="B360" s="17">
        <v>98.2</v>
      </c>
      <c r="C360" s="18">
        <v>444</v>
      </c>
    </row>
    <row r="361" spans="2:3" x14ac:dyDescent="0.25">
      <c r="B361" s="17">
        <v>98.4</v>
      </c>
      <c r="C361" s="18">
        <v>508</v>
      </c>
    </row>
    <row r="362" spans="2:3" x14ac:dyDescent="0.25">
      <c r="B362" s="17">
        <v>98.9</v>
      </c>
      <c r="C362" s="18">
        <v>277</v>
      </c>
    </row>
    <row r="363" spans="2:3" x14ac:dyDescent="0.25">
      <c r="B363" s="17">
        <v>99</v>
      </c>
      <c r="C363" s="18">
        <v>297</v>
      </c>
    </row>
    <row r="364" spans="2:3" x14ac:dyDescent="0.25">
      <c r="B364" s="17">
        <v>99.1</v>
      </c>
      <c r="C364" s="18">
        <v>454</v>
      </c>
    </row>
    <row r="365" spans="2:3" x14ac:dyDescent="0.25">
      <c r="B365" s="17">
        <v>99.7</v>
      </c>
      <c r="C365" s="18">
        <v>352</v>
      </c>
    </row>
    <row r="366" spans="2:3" x14ac:dyDescent="0.25">
      <c r="B366" s="17">
        <v>99.9</v>
      </c>
      <c r="C366" s="18">
        <v>488</v>
      </c>
    </row>
    <row r="367" spans="2:3" x14ac:dyDescent="0.25">
      <c r="B367" s="17">
        <v>100</v>
      </c>
      <c r="C367" s="18">
        <v>286</v>
      </c>
    </row>
    <row r="368" spans="2:3" x14ac:dyDescent="0.25">
      <c r="B368" s="17">
        <v>100.1</v>
      </c>
      <c r="C368" s="18">
        <v>429</v>
      </c>
    </row>
    <row r="369" spans="2:3" x14ac:dyDescent="0.25">
      <c r="B369" s="17">
        <v>100.3</v>
      </c>
      <c r="C369" s="18">
        <v>314</v>
      </c>
    </row>
    <row r="370" spans="2:3" x14ac:dyDescent="0.25">
      <c r="B370" s="17">
        <v>100.4</v>
      </c>
      <c r="C370" s="18">
        <v>401</v>
      </c>
    </row>
    <row r="371" spans="2:3" x14ac:dyDescent="0.25">
      <c r="B371" s="17">
        <v>100.5</v>
      </c>
      <c r="C371" s="18">
        <v>254</v>
      </c>
    </row>
    <row r="372" spans="2:3" x14ac:dyDescent="0.25">
      <c r="B372" s="17">
        <v>100.7</v>
      </c>
      <c r="C372" s="18">
        <v>321</v>
      </c>
    </row>
    <row r="373" spans="2:3" x14ac:dyDescent="0.25">
      <c r="B373" s="17">
        <v>101.1</v>
      </c>
      <c r="C373" s="18">
        <v>429</v>
      </c>
    </row>
    <row r="374" spans="2:3" x14ac:dyDescent="0.25">
      <c r="B374" s="17">
        <v>101.2</v>
      </c>
      <c r="C374" s="18">
        <v>314</v>
      </c>
    </row>
    <row r="375" spans="2:3" x14ac:dyDescent="0.25">
      <c r="B375" s="17">
        <v>101.5</v>
      </c>
      <c r="C375" s="18">
        <v>429</v>
      </c>
    </row>
    <row r="376" spans="2:3" x14ac:dyDescent="0.25">
      <c r="B376" s="17">
        <v>101.6</v>
      </c>
      <c r="C376" s="18">
        <v>246</v>
      </c>
    </row>
    <row r="377" spans="2:3" x14ac:dyDescent="0.25">
      <c r="B377" s="17">
        <v>103.3</v>
      </c>
      <c r="C377" s="18">
        <v>462</v>
      </c>
    </row>
    <row r="378" spans="2:3" x14ac:dyDescent="0.25">
      <c r="B378" s="17">
        <v>106.9</v>
      </c>
      <c r="C378" s="18">
        <v>365</v>
      </c>
    </row>
    <row r="379" spans="2:3" x14ac:dyDescent="0.25">
      <c r="B379" s="17">
        <v>108.5</v>
      </c>
      <c r="C379" s="18">
        <v>248</v>
      </c>
    </row>
    <row r="380" spans="2:3" x14ac:dyDescent="0.25">
      <c r="B380" s="17" t="s">
        <v>54</v>
      </c>
      <c r="C380" s="18">
        <v>219.40510948905109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A9A4-31EE-4CD8-89CE-5C2DB1A8E628}">
  <dimension ref="B1:M443"/>
  <sheetViews>
    <sheetView topLeftCell="C1" zoomScale="80" zoomScaleNormal="80" workbookViewId="0">
      <selection activeCell="G5" sqref="G5"/>
    </sheetView>
  </sheetViews>
  <sheetFormatPr defaultRowHeight="15" x14ac:dyDescent="0.25"/>
  <cols>
    <col min="1" max="1" width="4.42578125" customWidth="1"/>
    <col min="2" max="2" width="21.42578125" bestFit="1" customWidth="1"/>
    <col min="3" max="3" width="12.42578125" bestFit="1" customWidth="1"/>
    <col min="4" max="4" width="4.28515625" customWidth="1"/>
    <col min="5" max="5" width="41.7109375" customWidth="1"/>
    <col min="6" max="6" width="63.5703125" customWidth="1"/>
    <col min="7" max="7" width="20.7109375" customWidth="1"/>
    <col min="10" max="10" width="18.7109375" customWidth="1"/>
    <col min="11" max="11" width="21.42578125" customWidth="1"/>
    <col min="12" max="12" width="17.7109375" customWidth="1"/>
    <col min="13" max="13" width="14.85546875" customWidth="1"/>
  </cols>
  <sheetData>
    <row r="1" spans="2:6" ht="18.75" x14ac:dyDescent="0.3">
      <c r="B1" s="9" t="s">
        <v>43</v>
      </c>
    </row>
    <row r="2" spans="2:6" x14ac:dyDescent="0.25">
      <c r="E2" s="14" t="s">
        <v>46</v>
      </c>
      <c r="F2" s="14" t="s">
        <v>47</v>
      </c>
    </row>
    <row r="3" spans="2:6" ht="30" x14ac:dyDescent="0.25">
      <c r="E3" s="15" t="s">
        <v>48</v>
      </c>
      <c r="F3" t="s">
        <v>82</v>
      </c>
    </row>
    <row r="4" spans="2:6" x14ac:dyDescent="0.25">
      <c r="E4" s="15" t="s">
        <v>49</v>
      </c>
      <c r="F4" t="s">
        <v>83</v>
      </c>
    </row>
    <row r="5" spans="2:6" ht="45" x14ac:dyDescent="0.25">
      <c r="E5" s="15" t="s">
        <v>50</v>
      </c>
      <c r="F5" s="24" t="s">
        <v>85</v>
      </c>
    </row>
    <row r="6" spans="2:6" ht="45" x14ac:dyDescent="0.25">
      <c r="E6" s="15" t="s">
        <v>51</v>
      </c>
      <c r="F6" t="s">
        <v>84</v>
      </c>
    </row>
    <row r="9" spans="2:6" x14ac:dyDescent="0.25">
      <c r="B9" s="12" t="s">
        <v>44</v>
      </c>
      <c r="C9" s="12" t="s">
        <v>45</v>
      </c>
      <c r="E9" t="s">
        <v>58</v>
      </c>
    </row>
    <row r="10" spans="2:6" ht="15.75" thickBot="1" x14ac:dyDescent="0.3">
      <c r="B10" s="13">
        <v>47.7</v>
      </c>
      <c r="C10" s="13">
        <v>87</v>
      </c>
    </row>
    <row r="11" spans="2:6" x14ac:dyDescent="0.25">
      <c r="B11" s="13">
        <v>49.9</v>
      </c>
      <c r="C11" s="13">
        <v>73</v>
      </c>
      <c r="E11" s="21" t="s">
        <v>59</v>
      </c>
      <c r="F11" s="21"/>
    </row>
    <row r="12" spans="2:6" x14ac:dyDescent="0.25">
      <c r="B12" s="13">
        <v>50.8</v>
      </c>
      <c r="C12" s="13">
        <v>142</v>
      </c>
      <c r="E12" t="s">
        <v>60</v>
      </c>
      <c r="F12">
        <v>0.85247976438137052</v>
      </c>
    </row>
    <row r="13" spans="2:6" x14ac:dyDescent="0.25">
      <c r="B13" s="13">
        <v>52.2</v>
      </c>
      <c r="C13" s="13">
        <v>148</v>
      </c>
      <c r="E13" t="s">
        <v>61</v>
      </c>
      <c r="F13" s="22">
        <v>0.72672174867971706</v>
      </c>
    </row>
    <row r="14" spans="2:6" x14ac:dyDescent="0.25">
      <c r="B14" s="13">
        <v>52.6</v>
      </c>
      <c r="C14" s="13">
        <v>103.5</v>
      </c>
      <c r="E14" t="s">
        <v>62</v>
      </c>
      <c r="F14">
        <v>0.72608916013499414</v>
      </c>
    </row>
    <row r="15" spans="2:6" x14ac:dyDescent="0.25">
      <c r="B15" s="13">
        <v>52.8</v>
      </c>
      <c r="C15" s="13">
        <v>77</v>
      </c>
      <c r="E15" t="s">
        <v>63</v>
      </c>
      <c r="F15">
        <v>49.383728849936766</v>
      </c>
    </row>
    <row r="16" spans="2:6" ht="15.75" thickBot="1" x14ac:dyDescent="0.3">
      <c r="B16" s="13">
        <v>53</v>
      </c>
      <c r="C16" s="13">
        <v>104</v>
      </c>
      <c r="E16" s="19" t="s">
        <v>64</v>
      </c>
      <c r="F16" s="19">
        <v>434</v>
      </c>
    </row>
    <row r="17" spans="2:13" x14ac:dyDescent="0.25">
      <c r="B17" s="13">
        <v>53.1</v>
      </c>
      <c r="C17" s="13">
        <v>85</v>
      </c>
    </row>
    <row r="18" spans="2:13" ht="15.75" thickBot="1" x14ac:dyDescent="0.3">
      <c r="B18" s="13">
        <v>53.3</v>
      </c>
      <c r="C18" s="13">
        <v>138</v>
      </c>
      <c r="E18" t="s">
        <v>65</v>
      </c>
    </row>
    <row r="19" spans="2:13" x14ac:dyDescent="0.25">
      <c r="B19" s="13">
        <v>53.8</v>
      </c>
      <c r="C19" s="13">
        <v>151.66666666666666</v>
      </c>
      <c r="E19" s="20"/>
      <c r="F19" s="20" t="s">
        <v>70</v>
      </c>
      <c r="G19" s="20" t="s">
        <v>71</v>
      </c>
      <c r="H19" s="20" t="s">
        <v>72</v>
      </c>
      <c r="I19" s="20" t="s">
        <v>73</v>
      </c>
      <c r="J19" s="20" t="s">
        <v>74</v>
      </c>
    </row>
    <row r="20" spans="2:13" x14ac:dyDescent="0.25">
      <c r="B20" s="13">
        <v>53.9</v>
      </c>
      <c r="C20" s="13">
        <v>126</v>
      </c>
      <c r="E20" t="s">
        <v>66</v>
      </c>
      <c r="F20">
        <v>1</v>
      </c>
      <c r="G20">
        <v>2801654.603846658</v>
      </c>
      <c r="H20">
        <v>2801654.603846658</v>
      </c>
      <c r="I20">
        <v>1148.8063682817356</v>
      </c>
      <c r="J20" s="22">
        <v>9.1113433703615841E-124</v>
      </c>
    </row>
    <row r="21" spans="2:13" x14ac:dyDescent="0.25">
      <c r="B21" s="13">
        <v>54.2</v>
      </c>
      <c r="C21" s="13">
        <v>125.5</v>
      </c>
      <c r="E21" t="s">
        <v>67</v>
      </c>
      <c r="F21">
        <v>432</v>
      </c>
      <c r="G21">
        <v>1053541.1556536013</v>
      </c>
      <c r="H21">
        <v>2438.7526751240771</v>
      </c>
    </row>
    <row r="22" spans="2:13" ht="15.75" thickBot="1" x14ac:dyDescent="0.3">
      <c r="B22" s="13">
        <v>54.3</v>
      </c>
      <c r="C22" s="13">
        <v>156</v>
      </c>
      <c r="E22" s="19" t="s">
        <v>68</v>
      </c>
      <c r="F22" s="19">
        <v>433</v>
      </c>
      <c r="G22" s="19">
        <v>3855195.7595002595</v>
      </c>
      <c r="H22" s="19"/>
      <c r="I22" s="19"/>
      <c r="J22" s="19"/>
    </row>
    <row r="23" spans="2:13" ht="15.75" thickBot="1" x14ac:dyDescent="0.3">
      <c r="B23" s="13">
        <v>54.4</v>
      </c>
      <c r="C23" s="13">
        <v>82</v>
      </c>
    </row>
    <row r="24" spans="2:13" x14ac:dyDescent="0.25">
      <c r="B24" s="13">
        <v>54.6</v>
      </c>
      <c r="C24" s="13">
        <v>91</v>
      </c>
      <c r="E24" s="20"/>
      <c r="F24" s="20" t="s">
        <v>75</v>
      </c>
      <c r="G24" s="20" t="s">
        <v>63</v>
      </c>
      <c r="H24" s="20" t="s">
        <v>76</v>
      </c>
      <c r="I24" s="20" t="s">
        <v>77</v>
      </c>
      <c r="J24" s="20" t="s">
        <v>78</v>
      </c>
      <c r="K24" s="20" t="s">
        <v>79</v>
      </c>
      <c r="L24" s="20" t="s">
        <v>80</v>
      </c>
      <c r="M24" s="20" t="s">
        <v>81</v>
      </c>
    </row>
    <row r="25" spans="2:13" x14ac:dyDescent="0.25">
      <c r="B25" s="13">
        <v>54.7</v>
      </c>
      <c r="C25" s="13">
        <v>117</v>
      </c>
      <c r="E25" t="s">
        <v>69</v>
      </c>
      <c r="F25" s="22">
        <v>-216.38857945465381</v>
      </c>
      <c r="G25">
        <v>13.236821862746362</v>
      </c>
      <c r="H25">
        <v>-16.347472353893092</v>
      </c>
      <c r="I25" s="22">
        <v>4.1346856073396462E-47</v>
      </c>
      <c r="J25">
        <v>-242.40516245693388</v>
      </c>
      <c r="K25">
        <v>-190.37199645237374</v>
      </c>
      <c r="L25">
        <v>-242.40516245693388</v>
      </c>
      <c r="M25">
        <v>-190.37199645237374</v>
      </c>
    </row>
    <row r="26" spans="2:13" ht="15.75" thickBot="1" x14ac:dyDescent="0.3">
      <c r="B26" s="13">
        <v>54.8</v>
      </c>
      <c r="C26" s="13">
        <v>125</v>
      </c>
      <c r="E26" s="19" t="s">
        <v>44</v>
      </c>
      <c r="F26" s="23">
        <v>5.7559161291892353</v>
      </c>
      <c r="G26" s="19">
        <v>0.16982086157662049</v>
      </c>
      <c r="H26" s="19">
        <v>33.8940462069924</v>
      </c>
      <c r="I26" s="23">
        <v>9.1113433703615841E-124</v>
      </c>
      <c r="J26" s="19">
        <v>5.4221382339709496</v>
      </c>
      <c r="K26" s="19">
        <v>6.0896940244075211</v>
      </c>
      <c r="L26" s="19">
        <v>5.4221382339709496</v>
      </c>
      <c r="M26" s="19">
        <v>6.0896940244075211</v>
      </c>
    </row>
    <row r="27" spans="2:13" x14ac:dyDescent="0.25">
      <c r="B27" s="13">
        <v>54.9</v>
      </c>
      <c r="C27" s="13">
        <v>91</v>
      </c>
    </row>
    <row r="28" spans="2:13" x14ac:dyDescent="0.25">
      <c r="B28" s="13">
        <v>55</v>
      </c>
      <c r="C28" s="13">
        <v>130</v>
      </c>
    </row>
    <row r="29" spans="2:13" x14ac:dyDescent="0.25">
      <c r="B29" s="13">
        <v>55.1</v>
      </c>
      <c r="C29" s="13">
        <v>120.33333333333333</v>
      </c>
    </row>
    <row r="30" spans="2:13" x14ac:dyDescent="0.25">
      <c r="B30" s="13">
        <v>55.2</v>
      </c>
      <c r="C30" s="13">
        <v>97.666666666666671</v>
      </c>
    </row>
    <row r="31" spans="2:13" x14ac:dyDescent="0.25">
      <c r="B31" s="13">
        <v>55.4</v>
      </c>
      <c r="C31" s="13">
        <v>108</v>
      </c>
    </row>
    <row r="32" spans="2:13" x14ac:dyDescent="0.25">
      <c r="B32" s="13">
        <v>55.6</v>
      </c>
      <c r="C32" s="13">
        <v>134</v>
      </c>
    </row>
    <row r="33" spans="2:3" x14ac:dyDescent="0.25">
      <c r="B33" s="13">
        <v>55.7</v>
      </c>
      <c r="C33" s="13">
        <v>125</v>
      </c>
    </row>
    <row r="34" spans="2:3" x14ac:dyDescent="0.25">
      <c r="B34" s="13">
        <v>55.9</v>
      </c>
      <c r="C34" s="13">
        <v>109.2</v>
      </c>
    </row>
    <row r="35" spans="2:3" x14ac:dyDescent="0.25">
      <c r="B35" s="13">
        <v>56.1</v>
      </c>
      <c r="C35" s="13">
        <v>118</v>
      </c>
    </row>
    <row r="36" spans="2:3" x14ac:dyDescent="0.25">
      <c r="B36" s="13">
        <v>56.3</v>
      </c>
      <c r="C36" s="13">
        <v>82</v>
      </c>
    </row>
    <row r="37" spans="2:3" x14ac:dyDescent="0.25">
      <c r="B37" s="13">
        <v>56.4</v>
      </c>
      <c r="C37" s="13">
        <v>147</v>
      </c>
    </row>
    <row r="38" spans="2:3" x14ac:dyDescent="0.25">
      <c r="B38" s="13">
        <v>56.5</v>
      </c>
      <c r="C38" s="13">
        <v>125</v>
      </c>
    </row>
    <row r="39" spans="2:3" x14ac:dyDescent="0.25">
      <c r="B39" s="13">
        <v>56.6</v>
      </c>
      <c r="C39" s="13">
        <v>143.5</v>
      </c>
    </row>
    <row r="40" spans="2:3" x14ac:dyDescent="0.25">
      <c r="B40" s="13">
        <v>56.7</v>
      </c>
      <c r="C40" s="13">
        <v>105.5</v>
      </c>
    </row>
    <row r="41" spans="2:3" x14ac:dyDescent="0.25">
      <c r="B41" s="13">
        <v>56.8</v>
      </c>
      <c r="C41" s="13">
        <v>111.5</v>
      </c>
    </row>
    <row r="42" spans="2:3" x14ac:dyDescent="0.25">
      <c r="B42" s="13">
        <v>56.9</v>
      </c>
      <c r="C42" s="13">
        <v>91</v>
      </c>
    </row>
    <row r="43" spans="2:3" x14ac:dyDescent="0.25">
      <c r="B43" s="13">
        <v>57</v>
      </c>
      <c r="C43" s="13">
        <v>101.66666666666667</v>
      </c>
    </row>
    <row r="44" spans="2:3" x14ac:dyDescent="0.25">
      <c r="B44" s="13">
        <v>57.1</v>
      </c>
      <c r="C44" s="13">
        <v>109.66666666666667</v>
      </c>
    </row>
    <row r="45" spans="2:3" x14ac:dyDescent="0.25">
      <c r="B45" s="13">
        <v>57.2</v>
      </c>
      <c r="C45" s="13">
        <v>104.83333333333333</v>
      </c>
    </row>
    <row r="46" spans="2:3" x14ac:dyDescent="0.25">
      <c r="B46" s="13">
        <v>57.3</v>
      </c>
      <c r="C46" s="13">
        <v>147</v>
      </c>
    </row>
    <row r="47" spans="2:3" x14ac:dyDescent="0.25">
      <c r="B47" s="13">
        <v>57.4</v>
      </c>
      <c r="C47" s="13">
        <v>138.33333333333334</v>
      </c>
    </row>
    <row r="48" spans="2:3" x14ac:dyDescent="0.25">
      <c r="B48" s="13">
        <v>57.5</v>
      </c>
      <c r="C48" s="13">
        <v>111</v>
      </c>
    </row>
    <row r="49" spans="2:3" x14ac:dyDescent="0.25">
      <c r="B49" s="13">
        <v>57.6</v>
      </c>
      <c r="C49" s="13">
        <v>119.16666666666667</v>
      </c>
    </row>
    <row r="50" spans="2:3" x14ac:dyDescent="0.25">
      <c r="B50" s="13">
        <v>57.7</v>
      </c>
      <c r="C50" s="13">
        <v>116.5</v>
      </c>
    </row>
    <row r="51" spans="2:3" x14ac:dyDescent="0.25">
      <c r="B51" s="13">
        <v>57.8</v>
      </c>
      <c r="C51" s="13">
        <v>117.66666666666667</v>
      </c>
    </row>
    <row r="52" spans="2:3" x14ac:dyDescent="0.25">
      <c r="B52" s="13">
        <v>57.9</v>
      </c>
      <c r="C52" s="13">
        <v>102</v>
      </c>
    </row>
    <row r="53" spans="2:3" x14ac:dyDescent="0.25">
      <c r="B53" s="13">
        <v>58</v>
      </c>
      <c r="C53" s="13">
        <v>118.66666666666667</v>
      </c>
    </row>
    <row r="54" spans="2:3" x14ac:dyDescent="0.25">
      <c r="B54" s="13">
        <v>58.2</v>
      </c>
      <c r="C54" s="13">
        <v>105.5</v>
      </c>
    </row>
    <row r="55" spans="2:3" x14ac:dyDescent="0.25">
      <c r="B55" s="13">
        <v>58.3</v>
      </c>
      <c r="C55" s="13">
        <v>86.5</v>
      </c>
    </row>
    <row r="56" spans="2:3" x14ac:dyDescent="0.25">
      <c r="B56" s="13">
        <v>58.4</v>
      </c>
      <c r="C56" s="13">
        <v>87</v>
      </c>
    </row>
    <row r="57" spans="2:3" x14ac:dyDescent="0.25">
      <c r="B57" s="13">
        <v>58.5</v>
      </c>
      <c r="C57" s="13">
        <v>82</v>
      </c>
    </row>
    <row r="58" spans="2:3" x14ac:dyDescent="0.25">
      <c r="B58" s="13">
        <v>58.6</v>
      </c>
      <c r="C58" s="13">
        <v>142</v>
      </c>
    </row>
    <row r="59" spans="2:3" x14ac:dyDescent="0.25">
      <c r="B59" s="13">
        <v>58.7</v>
      </c>
      <c r="C59" s="13">
        <v>113.25</v>
      </c>
    </row>
    <row r="60" spans="2:3" x14ac:dyDescent="0.25">
      <c r="B60" s="13">
        <v>58.8</v>
      </c>
      <c r="C60" s="13">
        <v>127</v>
      </c>
    </row>
    <row r="61" spans="2:3" x14ac:dyDescent="0.25">
      <c r="B61" s="13">
        <v>58.9</v>
      </c>
      <c r="C61" s="13">
        <v>113</v>
      </c>
    </row>
    <row r="62" spans="2:3" x14ac:dyDescent="0.25">
      <c r="B62" s="13">
        <v>59</v>
      </c>
      <c r="C62" s="13">
        <v>171.5</v>
      </c>
    </row>
    <row r="63" spans="2:3" x14ac:dyDescent="0.25">
      <c r="B63" s="13">
        <v>59.1</v>
      </c>
      <c r="C63" s="13">
        <v>109.5</v>
      </c>
    </row>
    <row r="64" spans="2:3" x14ac:dyDescent="0.25">
      <c r="B64" s="13">
        <v>59.2</v>
      </c>
      <c r="C64" s="13">
        <v>92</v>
      </c>
    </row>
    <row r="65" spans="2:3" x14ac:dyDescent="0.25">
      <c r="B65" s="13">
        <v>59.3</v>
      </c>
      <c r="C65" s="13">
        <v>107.6</v>
      </c>
    </row>
    <row r="66" spans="2:3" x14ac:dyDescent="0.25">
      <c r="B66" s="13">
        <v>59.4</v>
      </c>
      <c r="C66" s="13">
        <v>139</v>
      </c>
    </row>
    <row r="67" spans="2:3" x14ac:dyDescent="0.25">
      <c r="B67" s="13">
        <v>59.5</v>
      </c>
      <c r="C67" s="13">
        <v>134</v>
      </c>
    </row>
    <row r="68" spans="2:3" x14ac:dyDescent="0.25">
      <c r="B68" s="13">
        <v>59.6</v>
      </c>
      <c r="C68" s="13">
        <v>109</v>
      </c>
    </row>
    <row r="69" spans="2:3" x14ac:dyDescent="0.25">
      <c r="B69" s="13">
        <v>59.7</v>
      </c>
      <c r="C69" s="13">
        <v>109.57142857142857</v>
      </c>
    </row>
    <row r="70" spans="2:3" x14ac:dyDescent="0.25">
      <c r="B70" s="13">
        <v>59.8</v>
      </c>
      <c r="C70" s="13">
        <v>109.25</v>
      </c>
    </row>
    <row r="71" spans="2:3" x14ac:dyDescent="0.25">
      <c r="B71" s="13">
        <v>59.9</v>
      </c>
      <c r="C71" s="13">
        <v>91</v>
      </c>
    </row>
    <row r="72" spans="2:3" x14ac:dyDescent="0.25">
      <c r="B72" s="13">
        <v>60</v>
      </c>
      <c r="C72" s="13">
        <v>162.75</v>
      </c>
    </row>
    <row r="73" spans="2:3" x14ac:dyDescent="0.25">
      <c r="B73" s="13">
        <v>60.1</v>
      </c>
      <c r="C73" s="13">
        <v>123.5</v>
      </c>
    </row>
    <row r="74" spans="2:3" x14ac:dyDescent="0.25">
      <c r="B74" s="13">
        <v>60.2</v>
      </c>
      <c r="C74" s="13">
        <v>199</v>
      </c>
    </row>
    <row r="75" spans="2:3" x14ac:dyDescent="0.25">
      <c r="B75" s="13">
        <v>60.3</v>
      </c>
      <c r="C75" s="13">
        <v>142.5</v>
      </c>
    </row>
    <row r="76" spans="2:3" x14ac:dyDescent="0.25">
      <c r="B76" s="13">
        <v>60.4</v>
      </c>
      <c r="C76" s="13">
        <v>177.5</v>
      </c>
    </row>
    <row r="77" spans="2:3" x14ac:dyDescent="0.25">
      <c r="B77" s="13">
        <v>60.5</v>
      </c>
      <c r="C77" s="13">
        <v>140</v>
      </c>
    </row>
    <row r="78" spans="2:3" x14ac:dyDescent="0.25">
      <c r="B78" s="13">
        <v>60.6</v>
      </c>
      <c r="C78" s="13">
        <v>139</v>
      </c>
    </row>
    <row r="79" spans="2:3" x14ac:dyDescent="0.25">
      <c r="B79" s="13">
        <v>60.7</v>
      </c>
      <c r="C79" s="13">
        <v>168</v>
      </c>
    </row>
    <row r="80" spans="2:3" x14ac:dyDescent="0.25">
      <c r="B80" s="13">
        <v>60.8</v>
      </c>
      <c r="C80" s="13">
        <v>136.33333333333334</v>
      </c>
    </row>
    <row r="81" spans="2:3" x14ac:dyDescent="0.25">
      <c r="B81" s="13">
        <v>60.9</v>
      </c>
      <c r="C81" s="13">
        <v>110.5</v>
      </c>
    </row>
    <row r="82" spans="2:3" x14ac:dyDescent="0.25">
      <c r="B82" s="13">
        <v>61</v>
      </c>
      <c r="C82" s="13">
        <v>146.19999999999999</v>
      </c>
    </row>
    <row r="83" spans="2:3" x14ac:dyDescent="0.25">
      <c r="B83" s="13">
        <v>61.1</v>
      </c>
      <c r="C83" s="13">
        <v>140.4</v>
      </c>
    </row>
    <row r="84" spans="2:3" x14ac:dyDescent="0.25">
      <c r="B84" s="13">
        <v>61.2</v>
      </c>
      <c r="C84" s="13">
        <v>208</v>
      </c>
    </row>
    <row r="85" spans="2:3" x14ac:dyDescent="0.25">
      <c r="B85" s="13">
        <v>61.3</v>
      </c>
      <c r="C85" s="13">
        <v>150.16666666666666</v>
      </c>
    </row>
    <row r="86" spans="2:3" x14ac:dyDescent="0.25">
      <c r="B86" s="13">
        <v>61.4</v>
      </c>
      <c r="C86" s="13">
        <v>209</v>
      </c>
    </row>
    <row r="87" spans="2:3" x14ac:dyDescent="0.25">
      <c r="B87" s="13">
        <v>61.5</v>
      </c>
      <c r="C87" s="13">
        <v>134.5</v>
      </c>
    </row>
    <row r="88" spans="2:3" x14ac:dyDescent="0.25">
      <c r="B88" s="13">
        <v>61.6</v>
      </c>
      <c r="C88" s="13">
        <v>166.33333333333334</v>
      </c>
    </row>
    <row r="89" spans="2:3" x14ac:dyDescent="0.25">
      <c r="B89" s="13">
        <v>61.7</v>
      </c>
      <c r="C89" s="13">
        <v>183.66666666666666</v>
      </c>
    </row>
    <row r="90" spans="2:3" x14ac:dyDescent="0.25">
      <c r="B90" s="13">
        <v>61.8</v>
      </c>
      <c r="C90" s="13">
        <v>164.25</v>
      </c>
    </row>
    <row r="91" spans="2:3" x14ac:dyDescent="0.25">
      <c r="B91" s="13">
        <v>61.9</v>
      </c>
      <c r="C91" s="13">
        <v>144.5</v>
      </c>
    </row>
    <row r="92" spans="2:3" x14ac:dyDescent="0.25">
      <c r="B92" s="13">
        <v>62</v>
      </c>
      <c r="C92" s="13">
        <v>103.33333333333333</v>
      </c>
    </row>
    <row r="93" spans="2:3" x14ac:dyDescent="0.25">
      <c r="B93" s="13">
        <v>62.1</v>
      </c>
      <c r="C93" s="13">
        <v>162</v>
      </c>
    </row>
    <row r="94" spans="2:3" x14ac:dyDescent="0.25">
      <c r="B94" s="13">
        <v>62.2</v>
      </c>
      <c r="C94" s="13">
        <v>157.66666666666666</v>
      </c>
    </row>
    <row r="95" spans="2:3" x14ac:dyDescent="0.25">
      <c r="B95" s="13">
        <v>62.3</v>
      </c>
      <c r="C95" s="13">
        <v>139</v>
      </c>
    </row>
    <row r="96" spans="2:3" x14ac:dyDescent="0.25">
      <c r="B96" s="13">
        <v>62.4</v>
      </c>
      <c r="C96" s="13">
        <v>146.80000000000001</v>
      </c>
    </row>
    <row r="97" spans="2:3" x14ac:dyDescent="0.25">
      <c r="B97" s="13">
        <v>62.6</v>
      </c>
      <c r="C97" s="13">
        <v>176.5</v>
      </c>
    </row>
    <row r="98" spans="2:3" x14ac:dyDescent="0.25">
      <c r="B98" s="13">
        <v>62.7</v>
      </c>
      <c r="C98" s="13">
        <v>163.66666666666666</v>
      </c>
    </row>
    <row r="99" spans="2:3" x14ac:dyDescent="0.25">
      <c r="B99" s="13">
        <v>62.8</v>
      </c>
      <c r="C99" s="13">
        <v>138.5</v>
      </c>
    </row>
    <row r="100" spans="2:3" x14ac:dyDescent="0.25">
      <c r="B100" s="13">
        <v>62.9</v>
      </c>
      <c r="C100" s="13">
        <v>133.66666666666666</v>
      </c>
    </row>
    <row r="101" spans="2:3" x14ac:dyDescent="0.25">
      <c r="B101" s="13">
        <v>63</v>
      </c>
      <c r="C101" s="13">
        <v>166.75</v>
      </c>
    </row>
    <row r="102" spans="2:3" x14ac:dyDescent="0.25">
      <c r="B102" s="13">
        <v>63.1</v>
      </c>
      <c r="C102" s="13">
        <v>161</v>
      </c>
    </row>
    <row r="103" spans="2:3" x14ac:dyDescent="0.25">
      <c r="B103" s="13">
        <v>63.2</v>
      </c>
      <c r="C103" s="13">
        <v>139.19999999999999</v>
      </c>
    </row>
    <row r="104" spans="2:3" x14ac:dyDescent="0.25">
      <c r="B104" s="13">
        <v>63.3</v>
      </c>
      <c r="C104" s="13">
        <v>142</v>
      </c>
    </row>
    <row r="105" spans="2:3" x14ac:dyDescent="0.25">
      <c r="B105" s="13">
        <v>63.4</v>
      </c>
      <c r="C105" s="13">
        <v>147.66666666666666</v>
      </c>
    </row>
    <row r="106" spans="2:3" x14ac:dyDescent="0.25">
      <c r="B106" s="13">
        <v>63.5</v>
      </c>
      <c r="C106" s="13">
        <v>170.66666666666666</v>
      </c>
    </row>
    <row r="107" spans="2:3" x14ac:dyDescent="0.25">
      <c r="B107" s="13">
        <v>63.6</v>
      </c>
      <c r="C107" s="13">
        <v>157.16666666666666</v>
      </c>
    </row>
    <row r="108" spans="2:3" x14ac:dyDescent="0.25">
      <c r="B108" s="13">
        <v>63.7</v>
      </c>
      <c r="C108" s="13">
        <v>148.83333333333334</v>
      </c>
    </row>
    <row r="109" spans="2:3" x14ac:dyDescent="0.25">
      <c r="B109" s="13">
        <v>63.8</v>
      </c>
      <c r="C109" s="13">
        <v>154.5</v>
      </c>
    </row>
    <row r="110" spans="2:3" x14ac:dyDescent="0.25">
      <c r="B110" s="13">
        <v>63.9</v>
      </c>
      <c r="C110" s="13">
        <v>157.19999999999999</v>
      </c>
    </row>
    <row r="111" spans="2:3" x14ac:dyDescent="0.25">
      <c r="B111" s="13">
        <v>64</v>
      </c>
      <c r="C111" s="13">
        <v>164</v>
      </c>
    </row>
    <row r="112" spans="2:3" x14ac:dyDescent="0.25">
      <c r="B112" s="13">
        <v>64.099999999999994</v>
      </c>
      <c r="C112" s="13">
        <v>194</v>
      </c>
    </row>
    <row r="113" spans="2:3" x14ac:dyDescent="0.25">
      <c r="B113" s="13">
        <v>64.2</v>
      </c>
      <c r="C113" s="13">
        <v>204</v>
      </c>
    </row>
    <row r="114" spans="2:3" x14ac:dyDescent="0.25">
      <c r="B114" s="13">
        <v>64.3</v>
      </c>
      <c r="C114" s="13">
        <v>131.5</v>
      </c>
    </row>
    <row r="115" spans="2:3" x14ac:dyDescent="0.25">
      <c r="B115" s="13">
        <v>64.400000000000006</v>
      </c>
      <c r="C115" s="13">
        <v>193</v>
      </c>
    </row>
    <row r="116" spans="2:3" x14ac:dyDescent="0.25">
      <c r="B116" s="13">
        <v>64.5</v>
      </c>
      <c r="C116" s="13">
        <v>134</v>
      </c>
    </row>
    <row r="117" spans="2:3" x14ac:dyDescent="0.25">
      <c r="B117" s="13">
        <v>64.599999999999994</v>
      </c>
      <c r="C117" s="13">
        <v>157.28571428571428</v>
      </c>
    </row>
    <row r="118" spans="2:3" x14ac:dyDescent="0.25">
      <c r="B118" s="13">
        <v>64.7</v>
      </c>
      <c r="C118" s="13">
        <v>177.8</v>
      </c>
    </row>
    <row r="119" spans="2:3" x14ac:dyDescent="0.25">
      <c r="B119" s="13">
        <v>64.8</v>
      </c>
      <c r="C119" s="13">
        <v>175</v>
      </c>
    </row>
    <row r="120" spans="2:3" x14ac:dyDescent="0.25">
      <c r="B120" s="13">
        <v>64.900000000000006</v>
      </c>
      <c r="C120" s="13">
        <v>139</v>
      </c>
    </row>
    <row r="121" spans="2:3" x14ac:dyDescent="0.25">
      <c r="B121" s="13">
        <v>65</v>
      </c>
      <c r="C121" s="13">
        <v>128.33333333333334</v>
      </c>
    </row>
    <row r="122" spans="2:3" x14ac:dyDescent="0.25">
      <c r="B122" s="13">
        <v>65.099999999999994</v>
      </c>
      <c r="C122" s="13">
        <v>119</v>
      </c>
    </row>
    <row r="123" spans="2:3" x14ac:dyDescent="0.25">
      <c r="B123" s="13">
        <v>65.2</v>
      </c>
      <c r="C123" s="13">
        <v>154.5</v>
      </c>
    </row>
    <row r="124" spans="2:3" x14ac:dyDescent="0.25">
      <c r="B124" s="13">
        <v>65.3</v>
      </c>
      <c r="C124" s="13">
        <v>163</v>
      </c>
    </row>
    <row r="125" spans="2:3" x14ac:dyDescent="0.25">
      <c r="B125" s="13">
        <v>65.400000000000006</v>
      </c>
      <c r="C125" s="13">
        <v>157</v>
      </c>
    </row>
    <row r="126" spans="2:3" x14ac:dyDescent="0.25">
      <c r="B126" s="13">
        <v>65.5</v>
      </c>
      <c r="C126" s="13">
        <v>154.75</v>
      </c>
    </row>
    <row r="127" spans="2:3" x14ac:dyDescent="0.25">
      <c r="B127" s="13">
        <v>65.599999999999994</v>
      </c>
      <c r="C127" s="13">
        <v>155.33333333333334</v>
      </c>
    </row>
    <row r="128" spans="2:3" x14ac:dyDescent="0.25">
      <c r="B128" s="13">
        <v>65.7</v>
      </c>
      <c r="C128" s="13">
        <v>145.66666666666666</v>
      </c>
    </row>
    <row r="129" spans="2:3" x14ac:dyDescent="0.25">
      <c r="B129" s="13">
        <v>65.8</v>
      </c>
      <c r="C129" s="13">
        <v>166</v>
      </c>
    </row>
    <row r="130" spans="2:3" x14ac:dyDescent="0.25">
      <c r="B130" s="13">
        <v>65.900000000000006</v>
      </c>
      <c r="C130" s="13">
        <v>120.75</v>
      </c>
    </row>
    <row r="131" spans="2:3" x14ac:dyDescent="0.25">
      <c r="B131" s="13">
        <v>66</v>
      </c>
      <c r="C131" s="13">
        <v>114</v>
      </c>
    </row>
    <row r="132" spans="2:3" x14ac:dyDescent="0.25">
      <c r="B132" s="13">
        <v>66.099999999999994</v>
      </c>
      <c r="C132" s="13">
        <v>138</v>
      </c>
    </row>
    <row r="133" spans="2:3" x14ac:dyDescent="0.25">
      <c r="B133" s="13">
        <v>66.2</v>
      </c>
      <c r="C133" s="13">
        <v>170.33333333333334</v>
      </c>
    </row>
    <row r="134" spans="2:3" x14ac:dyDescent="0.25">
      <c r="B134" s="13">
        <v>66.3</v>
      </c>
      <c r="C134" s="13">
        <v>132</v>
      </c>
    </row>
    <row r="135" spans="2:3" x14ac:dyDescent="0.25">
      <c r="B135" s="13">
        <v>66.400000000000006</v>
      </c>
      <c r="C135" s="13">
        <v>179</v>
      </c>
    </row>
    <row r="136" spans="2:3" x14ac:dyDescent="0.25">
      <c r="B136" s="13">
        <v>66.5</v>
      </c>
      <c r="C136" s="13">
        <v>123.66666666666667</v>
      </c>
    </row>
    <row r="137" spans="2:3" x14ac:dyDescent="0.25">
      <c r="B137" s="13">
        <v>66.599999999999994</v>
      </c>
      <c r="C137" s="13">
        <v>127.66666666666667</v>
      </c>
    </row>
    <row r="138" spans="2:3" x14ac:dyDescent="0.25">
      <c r="B138" s="13">
        <v>66.7</v>
      </c>
      <c r="C138" s="13">
        <v>120.33333333333333</v>
      </c>
    </row>
    <row r="139" spans="2:3" x14ac:dyDescent="0.25">
      <c r="B139" s="13">
        <v>66.8</v>
      </c>
      <c r="C139" s="13">
        <v>131</v>
      </c>
    </row>
    <row r="140" spans="2:3" x14ac:dyDescent="0.25">
      <c r="B140" s="13">
        <v>66.900000000000006</v>
      </c>
      <c r="C140" s="13">
        <v>135.75</v>
      </c>
    </row>
    <row r="141" spans="2:3" x14ac:dyDescent="0.25">
      <c r="B141" s="13">
        <v>67</v>
      </c>
      <c r="C141" s="13">
        <v>195</v>
      </c>
    </row>
    <row r="142" spans="2:3" x14ac:dyDescent="0.25">
      <c r="B142" s="13">
        <v>67.099999999999994</v>
      </c>
      <c r="C142" s="13">
        <v>179.5</v>
      </c>
    </row>
    <row r="143" spans="2:3" x14ac:dyDescent="0.25">
      <c r="B143" s="13">
        <v>67.2</v>
      </c>
      <c r="C143" s="13">
        <v>106.5</v>
      </c>
    </row>
    <row r="144" spans="2:3" x14ac:dyDescent="0.25">
      <c r="B144" s="13">
        <v>67.3</v>
      </c>
      <c r="C144" s="13">
        <v>137.5</v>
      </c>
    </row>
    <row r="145" spans="2:3" x14ac:dyDescent="0.25">
      <c r="B145" s="13">
        <v>67.400000000000006</v>
      </c>
      <c r="C145" s="13">
        <v>154.5</v>
      </c>
    </row>
    <row r="146" spans="2:3" x14ac:dyDescent="0.25">
      <c r="B146" s="13">
        <v>67.5</v>
      </c>
      <c r="C146" s="13">
        <v>244</v>
      </c>
    </row>
    <row r="147" spans="2:3" x14ac:dyDescent="0.25">
      <c r="B147" s="13">
        <v>67.599999999999994</v>
      </c>
      <c r="C147" s="13">
        <v>143</v>
      </c>
    </row>
    <row r="148" spans="2:3" x14ac:dyDescent="0.25">
      <c r="B148" s="13">
        <v>67.7</v>
      </c>
      <c r="C148" s="13">
        <v>192.4</v>
      </c>
    </row>
    <row r="149" spans="2:3" x14ac:dyDescent="0.25">
      <c r="B149" s="13">
        <v>67.8</v>
      </c>
      <c r="C149" s="13">
        <v>173.5</v>
      </c>
    </row>
    <row r="150" spans="2:3" x14ac:dyDescent="0.25">
      <c r="B150" s="13">
        <v>67.900000000000006</v>
      </c>
      <c r="C150" s="13">
        <v>178</v>
      </c>
    </row>
    <row r="151" spans="2:3" x14ac:dyDescent="0.25">
      <c r="B151" s="13">
        <v>68</v>
      </c>
      <c r="C151" s="13">
        <v>145</v>
      </c>
    </row>
    <row r="152" spans="2:3" x14ac:dyDescent="0.25">
      <c r="B152" s="13">
        <v>68.099999999999994</v>
      </c>
      <c r="C152" s="13">
        <v>177</v>
      </c>
    </row>
    <row r="153" spans="2:3" x14ac:dyDescent="0.25">
      <c r="B153" s="13">
        <v>68.2</v>
      </c>
      <c r="C153" s="13">
        <v>148</v>
      </c>
    </row>
    <row r="154" spans="2:3" x14ac:dyDescent="0.25">
      <c r="B154" s="13">
        <v>68.3</v>
      </c>
      <c r="C154" s="13">
        <v>135.80000000000001</v>
      </c>
    </row>
    <row r="155" spans="2:3" x14ac:dyDescent="0.25">
      <c r="B155" s="13">
        <v>68.400000000000006</v>
      </c>
      <c r="C155" s="13">
        <v>200</v>
      </c>
    </row>
    <row r="156" spans="2:3" x14ac:dyDescent="0.25">
      <c r="B156" s="13">
        <v>68.5</v>
      </c>
      <c r="C156" s="13">
        <v>244</v>
      </c>
    </row>
    <row r="157" spans="2:3" x14ac:dyDescent="0.25">
      <c r="B157" s="13">
        <v>68.599999999999994</v>
      </c>
      <c r="C157" s="13">
        <v>147.5</v>
      </c>
    </row>
    <row r="158" spans="2:3" x14ac:dyDescent="0.25">
      <c r="B158" s="13">
        <v>68.7</v>
      </c>
      <c r="C158" s="13">
        <v>158</v>
      </c>
    </row>
    <row r="159" spans="2:3" x14ac:dyDescent="0.25">
      <c r="B159" s="13">
        <v>68.8</v>
      </c>
      <c r="C159" s="13">
        <v>124.25</v>
      </c>
    </row>
    <row r="160" spans="2:3" x14ac:dyDescent="0.25">
      <c r="B160" s="13">
        <v>68.900000000000006</v>
      </c>
      <c r="C160" s="13">
        <v>147</v>
      </c>
    </row>
    <row r="161" spans="2:3" x14ac:dyDescent="0.25">
      <c r="B161" s="13">
        <v>69</v>
      </c>
      <c r="C161" s="13">
        <v>171.5</v>
      </c>
    </row>
    <row r="162" spans="2:3" x14ac:dyDescent="0.25">
      <c r="B162" s="13">
        <v>69.099999999999994</v>
      </c>
      <c r="C162" s="13">
        <v>157</v>
      </c>
    </row>
    <row r="163" spans="2:3" x14ac:dyDescent="0.25">
      <c r="B163" s="13">
        <v>69.2</v>
      </c>
      <c r="C163" s="13">
        <v>141.5</v>
      </c>
    </row>
    <row r="164" spans="2:3" x14ac:dyDescent="0.25">
      <c r="B164" s="13">
        <v>69.3</v>
      </c>
      <c r="C164" s="13">
        <v>222</v>
      </c>
    </row>
    <row r="165" spans="2:3" x14ac:dyDescent="0.25">
      <c r="B165" s="13">
        <v>69.400000000000006</v>
      </c>
      <c r="C165" s="13">
        <v>149</v>
      </c>
    </row>
    <row r="166" spans="2:3" x14ac:dyDescent="0.25">
      <c r="B166" s="13">
        <v>69.5</v>
      </c>
      <c r="C166" s="13">
        <v>129</v>
      </c>
    </row>
    <row r="167" spans="2:3" x14ac:dyDescent="0.25">
      <c r="B167" s="13">
        <v>69.599999999999994</v>
      </c>
      <c r="C167" s="13">
        <v>152.33333333333334</v>
      </c>
    </row>
    <row r="168" spans="2:3" x14ac:dyDescent="0.25">
      <c r="B168" s="13">
        <v>69.7</v>
      </c>
      <c r="C168" s="13">
        <v>152.16666666666666</v>
      </c>
    </row>
    <row r="169" spans="2:3" x14ac:dyDescent="0.25">
      <c r="B169" s="13">
        <v>69.8</v>
      </c>
      <c r="C169" s="13">
        <v>170</v>
      </c>
    </row>
    <row r="170" spans="2:3" x14ac:dyDescent="0.25">
      <c r="B170" s="13">
        <v>69.900000000000006</v>
      </c>
      <c r="C170" s="13">
        <v>182.5</v>
      </c>
    </row>
    <row r="171" spans="2:3" x14ac:dyDescent="0.25">
      <c r="B171" s="13">
        <v>70</v>
      </c>
      <c r="C171" s="13">
        <v>174</v>
      </c>
    </row>
    <row r="172" spans="2:3" x14ac:dyDescent="0.25">
      <c r="B172" s="13">
        <v>70.099999999999994</v>
      </c>
      <c r="C172" s="13">
        <v>226</v>
      </c>
    </row>
    <row r="173" spans="2:3" x14ac:dyDescent="0.25">
      <c r="B173" s="13">
        <v>70.2</v>
      </c>
      <c r="C173" s="13">
        <v>121.33333333333333</v>
      </c>
    </row>
    <row r="174" spans="2:3" x14ac:dyDescent="0.25">
      <c r="B174" s="13">
        <v>70.3</v>
      </c>
      <c r="C174" s="13">
        <v>206.33333333333334</v>
      </c>
    </row>
    <row r="175" spans="2:3" x14ac:dyDescent="0.25">
      <c r="B175" s="13">
        <v>70.400000000000006</v>
      </c>
      <c r="C175" s="13">
        <v>241</v>
      </c>
    </row>
    <row r="176" spans="2:3" x14ac:dyDescent="0.25">
      <c r="B176" s="13">
        <v>70.599999999999994</v>
      </c>
      <c r="C176" s="13">
        <v>134.5</v>
      </c>
    </row>
    <row r="177" spans="2:3" x14ac:dyDescent="0.25">
      <c r="B177" s="13">
        <v>70.7</v>
      </c>
      <c r="C177" s="13">
        <v>161.33333333333334</v>
      </c>
    </row>
    <row r="178" spans="2:3" x14ac:dyDescent="0.25">
      <c r="B178" s="13">
        <v>70.8</v>
      </c>
      <c r="C178" s="13">
        <v>175.33333333333334</v>
      </c>
    </row>
    <row r="179" spans="2:3" x14ac:dyDescent="0.25">
      <c r="B179" s="13">
        <v>71</v>
      </c>
      <c r="C179" s="13">
        <v>182.5</v>
      </c>
    </row>
    <row r="180" spans="2:3" x14ac:dyDescent="0.25">
      <c r="B180" s="13">
        <v>71.099999999999994</v>
      </c>
      <c r="C180" s="13">
        <v>253.66666666666666</v>
      </c>
    </row>
    <row r="181" spans="2:3" x14ac:dyDescent="0.25">
      <c r="B181" s="13">
        <v>71.2</v>
      </c>
      <c r="C181" s="13">
        <v>187.85714285714286</v>
      </c>
    </row>
    <row r="182" spans="2:3" x14ac:dyDescent="0.25">
      <c r="B182" s="13">
        <v>71.3</v>
      </c>
      <c r="C182" s="13">
        <v>146.33333333333334</v>
      </c>
    </row>
    <row r="183" spans="2:3" x14ac:dyDescent="0.25">
      <c r="B183" s="13">
        <v>71.400000000000006</v>
      </c>
      <c r="C183" s="13">
        <v>159.5</v>
      </c>
    </row>
    <row r="184" spans="2:3" x14ac:dyDescent="0.25">
      <c r="B184" s="13">
        <v>71.5</v>
      </c>
      <c r="C184" s="13">
        <v>206.66666666666666</v>
      </c>
    </row>
    <row r="185" spans="2:3" x14ac:dyDescent="0.25">
      <c r="B185" s="13">
        <v>71.599999999999994</v>
      </c>
      <c r="C185" s="13">
        <v>237</v>
      </c>
    </row>
    <row r="186" spans="2:3" x14ac:dyDescent="0.25">
      <c r="B186" s="13">
        <v>71.7</v>
      </c>
      <c r="C186" s="13">
        <v>145</v>
      </c>
    </row>
    <row r="187" spans="2:3" x14ac:dyDescent="0.25">
      <c r="B187" s="13">
        <v>71.8</v>
      </c>
      <c r="C187" s="13">
        <v>223</v>
      </c>
    </row>
    <row r="188" spans="2:3" x14ac:dyDescent="0.25">
      <c r="B188" s="13">
        <v>71.900000000000006</v>
      </c>
      <c r="C188" s="13">
        <v>149.5</v>
      </c>
    </row>
    <row r="189" spans="2:3" x14ac:dyDescent="0.25">
      <c r="B189" s="13">
        <v>72</v>
      </c>
      <c r="C189" s="13">
        <v>199.75</v>
      </c>
    </row>
    <row r="190" spans="2:3" x14ac:dyDescent="0.25">
      <c r="B190" s="13">
        <v>72.099999999999994</v>
      </c>
      <c r="C190" s="13">
        <v>198</v>
      </c>
    </row>
    <row r="191" spans="2:3" x14ac:dyDescent="0.25">
      <c r="B191" s="13">
        <v>72.2</v>
      </c>
      <c r="C191" s="13">
        <v>185</v>
      </c>
    </row>
    <row r="192" spans="2:3" x14ac:dyDescent="0.25">
      <c r="B192" s="13">
        <v>72.3</v>
      </c>
      <c r="C192" s="13">
        <v>204.66666666666666</v>
      </c>
    </row>
    <row r="193" spans="2:3" x14ac:dyDescent="0.25">
      <c r="B193" s="13">
        <v>72.400000000000006</v>
      </c>
      <c r="C193" s="13">
        <v>216.25</v>
      </c>
    </row>
    <row r="194" spans="2:3" x14ac:dyDescent="0.25">
      <c r="B194" s="13">
        <v>72.5</v>
      </c>
      <c r="C194" s="13">
        <v>172</v>
      </c>
    </row>
    <row r="195" spans="2:3" x14ac:dyDescent="0.25">
      <c r="B195" s="13">
        <v>72.599999999999994</v>
      </c>
      <c r="C195" s="13">
        <v>230.33333333333334</v>
      </c>
    </row>
    <row r="196" spans="2:3" x14ac:dyDescent="0.25">
      <c r="B196" s="13">
        <v>72.7</v>
      </c>
      <c r="C196" s="13">
        <v>241</v>
      </c>
    </row>
    <row r="197" spans="2:3" x14ac:dyDescent="0.25">
      <c r="B197" s="13">
        <v>72.8</v>
      </c>
      <c r="C197" s="13">
        <v>156.5</v>
      </c>
    </row>
    <row r="198" spans="2:3" x14ac:dyDescent="0.25">
      <c r="B198" s="13">
        <v>72.900000000000006</v>
      </c>
      <c r="C198" s="13">
        <v>150</v>
      </c>
    </row>
    <row r="199" spans="2:3" x14ac:dyDescent="0.25">
      <c r="B199" s="13">
        <v>73</v>
      </c>
      <c r="C199" s="13">
        <v>247</v>
      </c>
    </row>
    <row r="200" spans="2:3" x14ac:dyDescent="0.25">
      <c r="B200" s="13">
        <v>73.099999999999994</v>
      </c>
      <c r="C200" s="13">
        <v>140</v>
      </c>
    </row>
    <row r="201" spans="2:3" x14ac:dyDescent="0.25">
      <c r="B201" s="13">
        <v>73.2</v>
      </c>
      <c r="C201" s="13">
        <v>188</v>
      </c>
    </row>
    <row r="202" spans="2:3" x14ac:dyDescent="0.25">
      <c r="B202" s="13">
        <v>73.400000000000006</v>
      </c>
      <c r="C202" s="13">
        <v>279</v>
      </c>
    </row>
    <row r="203" spans="2:3" x14ac:dyDescent="0.25">
      <c r="B203" s="13">
        <v>73.5</v>
      </c>
      <c r="C203" s="13">
        <v>171.33333333333334</v>
      </c>
    </row>
    <row r="204" spans="2:3" x14ac:dyDescent="0.25">
      <c r="B204" s="13">
        <v>73.599999999999994</v>
      </c>
      <c r="C204" s="13">
        <v>195.33333333333334</v>
      </c>
    </row>
    <row r="205" spans="2:3" x14ac:dyDescent="0.25">
      <c r="B205" s="13">
        <v>73.7</v>
      </c>
      <c r="C205" s="13">
        <v>241</v>
      </c>
    </row>
    <row r="206" spans="2:3" x14ac:dyDescent="0.25">
      <c r="B206" s="13">
        <v>73.8</v>
      </c>
      <c r="C206" s="13">
        <v>157</v>
      </c>
    </row>
    <row r="207" spans="2:3" x14ac:dyDescent="0.25">
      <c r="B207" s="13">
        <v>73.900000000000006</v>
      </c>
      <c r="C207" s="13">
        <v>223.5</v>
      </c>
    </row>
    <row r="208" spans="2:3" x14ac:dyDescent="0.25">
      <c r="B208" s="13">
        <v>74</v>
      </c>
      <c r="C208" s="13">
        <v>186</v>
      </c>
    </row>
    <row r="209" spans="2:3" x14ac:dyDescent="0.25">
      <c r="B209" s="13">
        <v>74.099999999999994</v>
      </c>
      <c r="C209" s="13">
        <v>158</v>
      </c>
    </row>
    <row r="210" spans="2:3" x14ac:dyDescent="0.25">
      <c r="B210" s="13">
        <v>74.2</v>
      </c>
      <c r="C210" s="13">
        <v>184</v>
      </c>
    </row>
    <row r="211" spans="2:3" x14ac:dyDescent="0.25">
      <c r="B211" s="13">
        <v>74.3</v>
      </c>
      <c r="C211" s="13">
        <v>155</v>
      </c>
    </row>
    <row r="212" spans="2:3" x14ac:dyDescent="0.25">
      <c r="B212" s="13">
        <v>74.400000000000006</v>
      </c>
      <c r="C212" s="13">
        <v>143</v>
      </c>
    </row>
    <row r="213" spans="2:3" x14ac:dyDescent="0.25">
      <c r="B213" s="13">
        <v>74.7</v>
      </c>
      <c r="C213" s="13">
        <v>202.33333333333334</v>
      </c>
    </row>
    <row r="214" spans="2:3" x14ac:dyDescent="0.25">
      <c r="B214" s="13">
        <v>74.8</v>
      </c>
      <c r="C214" s="13">
        <v>146.5</v>
      </c>
    </row>
    <row r="215" spans="2:3" x14ac:dyDescent="0.25">
      <c r="B215" s="13">
        <v>74.900000000000006</v>
      </c>
      <c r="C215" s="13">
        <v>163.6</v>
      </c>
    </row>
    <row r="216" spans="2:3" x14ac:dyDescent="0.25">
      <c r="B216" s="13">
        <v>75.099999999999994</v>
      </c>
      <c r="C216" s="13">
        <v>201.5</v>
      </c>
    </row>
    <row r="217" spans="2:3" x14ac:dyDescent="0.25">
      <c r="B217" s="13">
        <v>75.2</v>
      </c>
      <c r="C217" s="13">
        <v>221.25</v>
      </c>
    </row>
    <row r="218" spans="2:3" x14ac:dyDescent="0.25">
      <c r="B218" s="13">
        <v>75.3</v>
      </c>
      <c r="C218" s="13">
        <v>229.33333333333334</v>
      </c>
    </row>
    <row r="219" spans="2:3" x14ac:dyDescent="0.25">
      <c r="B219" s="13">
        <v>75.400000000000006</v>
      </c>
      <c r="C219" s="13">
        <v>251</v>
      </c>
    </row>
    <row r="220" spans="2:3" x14ac:dyDescent="0.25">
      <c r="B220" s="13">
        <v>75.5</v>
      </c>
      <c r="C220" s="13">
        <v>220</v>
      </c>
    </row>
    <row r="221" spans="2:3" x14ac:dyDescent="0.25">
      <c r="B221" s="13">
        <v>75.7</v>
      </c>
      <c r="C221" s="13">
        <v>228.5</v>
      </c>
    </row>
    <row r="222" spans="2:3" x14ac:dyDescent="0.25">
      <c r="B222" s="13">
        <v>75.8</v>
      </c>
      <c r="C222" s="13">
        <v>127</v>
      </c>
    </row>
    <row r="223" spans="2:3" x14ac:dyDescent="0.25">
      <c r="B223" s="13">
        <v>75.900000000000006</v>
      </c>
      <c r="C223" s="13">
        <v>192</v>
      </c>
    </row>
    <row r="224" spans="2:3" x14ac:dyDescent="0.25">
      <c r="B224" s="13">
        <v>76</v>
      </c>
      <c r="C224" s="13">
        <v>213.5</v>
      </c>
    </row>
    <row r="225" spans="2:3" x14ac:dyDescent="0.25">
      <c r="B225" s="13">
        <v>76.099999999999994</v>
      </c>
      <c r="C225" s="13">
        <v>247</v>
      </c>
    </row>
    <row r="226" spans="2:3" x14ac:dyDescent="0.25">
      <c r="B226" s="13">
        <v>76.2</v>
      </c>
      <c r="C226" s="13">
        <v>210.5</v>
      </c>
    </row>
    <row r="227" spans="2:3" x14ac:dyDescent="0.25">
      <c r="B227" s="13">
        <v>76.3</v>
      </c>
      <c r="C227" s="13">
        <v>166.66666666666666</v>
      </c>
    </row>
    <row r="228" spans="2:3" x14ac:dyDescent="0.25">
      <c r="B228" s="13">
        <v>76.400000000000006</v>
      </c>
      <c r="C228" s="13">
        <v>180</v>
      </c>
    </row>
    <row r="229" spans="2:3" x14ac:dyDescent="0.25">
      <c r="B229" s="13">
        <v>76.599999999999994</v>
      </c>
      <c r="C229" s="13">
        <v>177</v>
      </c>
    </row>
    <row r="230" spans="2:3" x14ac:dyDescent="0.25">
      <c r="B230" s="13">
        <v>76.7</v>
      </c>
      <c r="C230" s="13">
        <v>148.33333333333334</v>
      </c>
    </row>
    <row r="231" spans="2:3" x14ac:dyDescent="0.25">
      <c r="B231" s="13">
        <v>76.8</v>
      </c>
      <c r="C231" s="13">
        <v>223</v>
      </c>
    </row>
    <row r="232" spans="2:3" x14ac:dyDescent="0.25">
      <c r="B232" s="13">
        <v>76.900000000000006</v>
      </c>
      <c r="C232" s="13">
        <v>125</v>
      </c>
    </row>
    <row r="233" spans="2:3" x14ac:dyDescent="0.25">
      <c r="B233" s="13">
        <v>77.099999999999994</v>
      </c>
      <c r="C233" s="13">
        <v>195.5</v>
      </c>
    </row>
    <row r="234" spans="2:3" x14ac:dyDescent="0.25">
      <c r="B234" s="13">
        <v>77.2</v>
      </c>
      <c r="C234" s="13">
        <v>173.5</v>
      </c>
    </row>
    <row r="235" spans="2:3" x14ac:dyDescent="0.25">
      <c r="B235" s="13">
        <v>77.3</v>
      </c>
      <c r="C235" s="13">
        <v>212.5</v>
      </c>
    </row>
    <row r="236" spans="2:3" x14ac:dyDescent="0.25">
      <c r="B236" s="13">
        <v>77.400000000000006</v>
      </c>
      <c r="C236" s="13">
        <v>301</v>
      </c>
    </row>
    <row r="237" spans="2:3" x14ac:dyDescent="0.25">
      <c r="B237" s="13">
        <v>77.5</v>
      </c>
      <c r="C237" s="13">
        <v>155</v>
      </c>
    </row>
    <row r="238" spans="2:3" x14ac:dyDescent="0.25">
      <c r="B238" s="13">
        <v>77.599999999999994</v>
      </c>
      <c r="C238" s="13">
        <v>203</v>
      </c>
    </row>
    <row r="239" spans="2:3" x14ac:dyDescent="0.25">
      <c r="B239" s="13">
        <v>77.7</v>
      </c>
      <c r="C239" s="13">
        <v>166</v>
      </c>
    </row>
    <row r="240" spans="2:3" x14ac:dyDescent="0.25">
      <c r="B240" s="13">
        <v>77.8</v>
      </c>
      <c r="C240" s="13">
        <v>163.33333333333334</v>
      </c>
    </row>
    <row r="241" spans="2:3" x14ac:dyDescent="0.25">
      <c r="B241" s="13">
        <v>77.900000000000006</v>
      </c>
      <c r="C241" s="13">
        <v>207</v>
      </c>
    </row>
    <row r="242" spans="2:3" x14ac:dyDescent="0.25">
      <c r="B242" s="13">
        <v>78</v>
      </c>
      <c r="C242" s="13">
        <v>237</v>
      </c>
    </row>
    <row r="243" spans="2:3" x14ac:dyDescent="0.25">
      <c r="B243" s="13">
        <v>78.099999999999994</v>
      </c>
      <c r="C243" s="13">
        <v>260.5</v>
      </c>
    </row>
    <row r="244" spans="2:3" x14ac:dyDescent="0.25">
      <c r="B244" s="13">
        <v>78.2</v>
      </c>
      <c r="C244" s="13">
        <v>138</v>
      </c>
    </row>
    <row r="245" spans="2:3" x14ac:dyDescent="0.25">
      <c r="B245" s="13">
        <v>78.400000000000006</v>
      </c>
      <c r="C245" s="13">
        <v>176</v>
      </c>
    </row>
    <row r="246" spans="2:3" x14ac:dyDescent="0.25">
      <c r="B246" s="13">
        <v>78.7</v>
      </c>
      <c r="C246" s="13">
        <v>223</v>
      </c>
    </row>
    <row r="247" spans="2:3" x14ac:dyDescent="0.25">
      <c r="B247" s="13">
        <v>78.8</v>
      </c>
      <c r="C247" s="13">
        <v>240</v>
      </c>
    </row>
    <row r="248" spans="2:3" x14ac:dyDescent="0.25">
      <c r="B248" s="13">
        <v>78.900000000000006</v>
      </c>
      <c r="C248" s="13">
        <v>201.66666666666666</v>
      </c>
    </row>
    <row r="249" spans="2:3" x14ac:dyDescent="0.25">
      <c r="B249" s="13">
        <v>79.2</v>
      </c>
      <c r="C249" s="13">
        <v>279</v>
      </c>
    </row>
    <row r="250" spans="2:3" x14ac:dyDescent="0.25">
      <c r="B250" s="13">
        <v>79.3</v>
      </c>
      <c r="C250" s="13">
        <v>158</v>
      </c>
    </row>
    <row r="251" spans="2:3" x14ac:dyDescent="0.25">
      <c r="B251" s="13">
        <v>79.400000000000006</v>
      </c>
      <c r="C251" s="13">
        <v>155</v>
      </c>
    </row>
    <row r="252" spans="2:3" x14ac:dyDescent="0.25">
      <c r="B252" s="13">
        <v>79.5</v>
      </c>
      <c r="C252" s="13">
        <v>177</v>
      </c>
    </row>
    <row r="253" spans="2:3" x14ac:dyDescent="0.25">
      <c r="B253" s="13">
        <v>79.599999999999994</v>
      </c>
      <c r="C253" s="13">
        <v>194</v>
      </c>
    </row>
    <row r="254" spans="2:3" x14ac:dyDescent="0.25">
      <c r="B254" s="13">
        <v>79.8</v>
      </c>
      <c r="C254" s="13">
        <v>213</v>
      </c>
    </row>
    <row r="255" spans="2:3" x14ac:dyDescent="0.25">
      <c r="B255" s="13">
        <v>79.900000000000006</v>
      </c>
      <c r="C255" s="13">
        <v>182.66666666666666</v>
      </c>
    </row>
    <row r="256" spans="2:3" x14ac:dyDescent="0.25">
      <c r="B256" s="13">
        <v>80</v>
      </c>
      <c r="C256" s="13">
        <v>232</v>
      </c>
    </row>
    <row r="257" spans="2:3" x14ac:dyDescent="0.25">
      <c r="B257" s="13">
        <v>80.099999999999994</v>
      </c>
      <c r="C257" s="13">
        <v>251</v>
      </c>
    </row>
    <row r="258" spans="2:3" x14ac:dyDescent="0.25">
      <c r="B258" s="13">
        <v>80.2</v>
      </c>
      <c r="C258" s="13">
        <v>241.2</v>
      </c>
    </row>
    <row r="259" spans="2:3" x14ac:dyDescent="0.25">
      <c r="B259" s="13">
        <v>80.3</v>
      </c>
      <c r="C259" s="13">
        <v>169</v>
      </c>
    </row>
    <row r="260" spans="2:3" x14ac:dyDescent="0.25">
      <c r="B260" s="13">
        <v>80.400000000000006</v>
      </c>
      <c r="C260" s="13">
        <v>249.25</v>
      </c>
    </row>
    <row r="261" spans="2:3" x14ac:dyDescent="0.25">
      <c r="B261" s="13">
        <v>80.5</v>
      </c>
      <c r="C261" s="13">
        <v>194</v>
      </c>
    </row>
    <row r="262" spans="2:3" x14ac:dyDescent="0.25">
      <c r="B262" s="13">
        <v>80.599999999999994</v>
      </c>
      <c r="C262" s="13">
        <v>239.66666666666666</v>
      </c>
    </row>
    <row r="263" spans="2:3" x14ac:dyDescent="0.25">
      <c r="B263" s="13">
        <v>80.7</v>
      </c>
      <c r="C263" s="13">
        <v>274.66666666666669</v>
      </c>
    </row>
    <row r="264" spans="2:3" x14ac:dyDescent="0.25">
      <c r="B264" s="13">
        <v>80.8</v>
      </c>
      <c r="C264" s="13">
        <v>290.66666666666669</v>
      </c>
    </row>
    <row r="265" spans="2:3" x14ac:dyDescent="0.25">
      <c r="B265" s="13">
        <v>80.900000000000006</v>
      </c>
      <c r="C265" s="13">
        <v>335</v>
      </c>
    </row>
    <row r="266" spans="2:3" x14ac:dyDescent="0.25">
      <c r="B266" s="13">
        <v>81</v>
      </c>
      <c r="C266" s="13">
        <v>206</v>
      </c>
    </row>
    <row r="267" spans="2:3" x14ac:dyDescent="0.25">
      <c r="B267" s="13">
        <v>81.2</v>
      </c>
      <c r="C267" s="13">
        <v>263.5</v>
      </c>
    </row>
    <row r="268" spans="2:3" x14ac:dyDescent="0.25">
      <c r="B268" s="13">
        <v>81.3</v>
      </c>
      <c r="C268" s="13">
        <v>335</v>
      </c>
    </row>
    <row r="269" spans="2:3" x14ac:dyDescent="0.25">
      <c r="B269" s="13">
        <v>81.400000000000006</v>
      </c>
      <c r="C269" s="13">
        <v>281.5</v>
      </c>
    </row>
    <row r="270" spans="2:3" x14ac:dyDescent="0.25">
      <c r="B270" s="13">
        <v>81.5</v>
      </c>
      <c r="C270" s="13">
        <v>436</v>
      </c>
    </row>
    <row r="271" spans="2:3" x14ac:dyDescent="0.25">
      <c r="B271" s="13">
        <v>81.599999999999994</v>
      </c>
      <c r="C271" s="13">
        <v>225.5</v>
      </c>
    </row>
    <row r="272" spans="2:3" x14ac:dyDescent="0.25">
      <c r="B272" s="13">
        <v>81.7</v>
      </c>
      <c r="C272" s="13">
        <v>169</v>
      </c>
    </row>
    <row r="273" spans="2:3" x14ac:dyDescent="0.25">
      <c r="B273" s="13">
        <v>81.8</v>
      </c>
      <c r="C273" s="13">
        <v>188</v>
      </c>
    </row>
    <row r="274" spans="2:3" x14ac:dyDescent="0.25">
      <c r="B274" s="13">
        <v>81.900000000000006</v>
      </c>
      <c r="C274" s="13">
        <v>206.8</v>
      </c>
    </row>
    <row r="275" spans="2:3" x14ac:dyDescent="0.25">
      <c r="B275" s="13">
        <v>82</v>
      </c>
      <c r="C275" s="13">
        <v>255</v>
      </c>
    </row>
    <row r="276" spans="2:3" x14ac:dyDescent="0.25">
      <c r="B276" s="13">
        <v>82.1</v>
      </c>
      <c r="C276" s="13">
        <v>311.5</v>
      </c>
    </row>
    <row r="277" spans="2:3" x14ac:dyDescent="0.25">
      <c r="B277" s="13">
        <v>82.2</v>
      </c>
      <c r="C277" s="13">
        <v>335</v>
      </c>
    </row>
    <row r="278" spans="2:3" x14ac:dyDescent="0.25">
      <c r="B278" s="13">
        <v>82.3</v>
      </c>
      <c r="C278" s="13">
        <v>240.16666666666666</v>
      </c>
    </row>
    <row r="279" spans="2:3" x14ac:dyDescent="0.25">
      <c r="B279" s="13">
        <v>82.4</v>
      </c>
      <c r="C279" s="13">
        <v>365</v>
      </c>
    </row>
    <row r="280" spans="2:3" x14ac:dyDescent="0.25">
      <c r="B280" s="13">
        <v>82.5</v>
      </c>
      <c r="C280" s="13">
        <v>152</v>
      </c>
    </row>
    <row r="281" spans="2:3" x14ac:dyDescent="0.25">
      <c r="B281" s="13">
        <v>82.6</v>
      </c>
      <c r="C281" s="13">
        <v>292.5</v>
      </c>
    </row>
    <row r="282" spans="2:3" x14ac:dyDescent="0.25">
      <c r="B282" s="13">
        <v>82.7</v>
      </c>
      <c r="C282" s="13">
        <v>232</v>
      </c>
    </row>
    <row r="283" spans="2:3" x14ac:dyDescent="0.25">
      <c r="B283" s="13">
        <v>82.9</v>
      </c>
      <c r="C283" s="13">
        <v>267</v>
      </c>
    </row>
    <row r="284" spans="2:3" x14ac:dyDescent="0.25">
      <c r="B284" s="13">
        <v>83</v>
      </c>
      <c r="C284" s="13">
        <v>361</v>
      </c>
    </row>
    <row r="285" spans="2:3" x14ac:dyDescent="0.25">
      <c r="B285" s="13">
        <v>83.1</v>
      </c>
      <c r="C285" s="13">
        <v>259.5</v>
      </c>
    </row>
    <row r="286" spans="2:3" x14ac:dyDescent="0.25">
      <c r="B286" s="13">
        <v>83.3</v>
      </c>
      <c r="C286" s="13">
        <v>300.5</v>
      </c>
    </row>
    <row r="287" spans="2:3" x14ac:dyDescent="0.25">
      <c r="B287" s="13">
        <v>83.4</v>
      </c>
      <c r="C287" s="13">
        <v>252.75</v>
      </c>
    </row>
    <row r="288" spans="2:3" x14ac:dyDescent="0.25">
      <c r="B288" s="13">
        <v>83.5</v>
      </c>
      <c r="C288" s="13">
        <v>366</v>
      </c>
    </row>
    <row r="289" spans="2:3" x14ac:dyDescent="0.25">
      <c r="B289" s="13">
        <v>83.6</v>
      </c>
      <c r="C289" s="13">
        <v>279</v>
      </c>
    </row>
    <row r="290" spans="2:3" x14ac:dyDescent="0.25">
      <c r="B290" s="13">
        <v>83.7</v>
      </c>
      <c r="C290" s="13">
        <v>220.5</v>
      </c>
    </row>
    <row r="291" spans="2:3" x14ac:dyDescent="0.25">
      <c r="B291" s="13">
        <v>83.8</v>
      </c>
      <c r="C291" s="13">
        <v>247.5</v>
      </c>
    </row>
    <row r="292" spans="2:3" x14ac:dyDescent="0.25">
      <c r="B292" s="13">
        <v>84.1</v>
      </c>
      <c r="C292" s="13">
        <v>363.66666666666669</v>
      </c>
    </row>
    <row r="293" spans="2:3" x14ac:dyDescent="0.25">
      <c r="B293" s="13">
        <v>84.2</v>
      </c>
      <c r="C293" s="13">
        <v>274.2</v>
      </c>
    </row>
    <row r="294" spans="2:3" x14ac:dyDescent="0.25">
      <c r="B294" s="13">
        <v>84.3</v>
      </c>
      <c r="C294" s="13">
        <v>227</v>
      </c>
    </row>
    <row r="295" spans="2:3" x14ac:dyDescent="0.25">
      <c r="B295" s="13">
        <v>84.4</v>
      </c>
      <c r="C295" s="13">
        <v>278</v>
      </c>
    </row>
    <row r="296" spans="2:3" x14ac:dyDescent="0.25">
      <c r="B296" s="13">
        <v>84.5</v>
      </c>
      <c r="C296" s="13">
        <v>158</v>
      </c>
    </row>
    <row r="297" spans="2:3" x14ac:dyDescent="0.25">
      <c r="B297" s="13">
        <v>84.6</v>
      </c>
      <c r="C297" s="13">
        <v>361</v>
      </c>
    </row>
    <row r="298" spans="2:3" x14ac:dyDescent="0.25">
      <c r="B298" s="13">
        <v>84.7</v>
      </c>
      <c r="C298" s="13">
        <v>248</v>
      </c>
    </row>
    <row r="299" spans="2:3" x14ac:dyDescent="0.25">
      <c r="B299" s="13">
        <v>84.8</v>
      </c>
      <c r="C299" s="13">
        <v>264</v>
      </c>
    </row>
    <row r="300" spans="2:3" x14ac:dyDescent="0.25">
      <c r="B300" s="13">
        <v>84.9</v>
      </c>
      <c r="C300" s="13">
        <v>265.5</v>
      </c>
    </row>
    <row r="301" spans="2:3" x14ac:dyDescent="0.25">
      <c r="B301" s="13">
        <v>85.1</v>
      </c>
      <c r="C301" s="13">
        <v>298</v>
      </c>
    </row>
    <row r="302" spans="2:3" x14ac:dyDescent="0.25">
      <c r="B302" s="13">
        <v>85.2</v>
      </c>
      <c r="C302" s="13">
        <v>328</v>
      </c>
    </row>
    <row r="303" spans="2:3" x14ac:dyDescent="0.25">
      <c r="B303" s="13">
        <v>85.3</v>
      </c>
      <c r="C303" s="13">
        <v>396</v>
      </c>
    </row>
    <row r="304" spans="2:3" x14ac:dyDescent="0.25">
      <c r="B304" s="13">
        <v>85.4</v>
      </c>
      <c r="C304" s="13">
        <v>219</v>
      </c>
    </row>
    <row r="305" spans="2:3" x14ac:dyDescent="0.25">
      <c r="B305" s="13">
        <v>85.5</v>
      </c>
      <c r="C305" s="13">
        <v>260.66666666666669</v>
      </c>
    </row>
    <row r="306" spans="2:3" x14ac:dyDescent="0.25">
      <c r="B306" s="13">
        <v>85.6</v>
      </c>
      <c r="C306" s="13">
        <v>308</v>
      </c>
    </row>
    <row r="307" spans="2:3" x14ac:dyDescent="0.25">
      <c r="B307" s="13">
        <v>85.8</v>
      </c>
      <c r="C307" s="13">
        <v>290.5</v>
      </c>
    </row>
    <row r="308" spans="2:3" x14ac:dyDescent="0.25">
      <c r="B308" s="13">
        <v>85.9</v>
      </c>
      <c r="C308" s="13">
        <v>290</v>
      </c>
    </row>
    <row r="309" spans="2:3" x14ac:dyDescent="0.25">
      <c r="B309" s="13">
        <v>86</v>
      </c>
      <c r="C309" s="13">
        <v>232</v>
      </c>
    </row>
    <row r="310" spans="2:3" x14ac:dyDescent="0.25">
      <c r="B310" s="13">
        <v>86.2</v>
      </c>
      <c r="C310" s="13">
        <v>220.5</v>
      </c>
    </row>
    <row r="311" spans="2:3" x14ac:dyDescent="0.25">
      <c r="B311" s="13">
        <v>86.3</v>
      </c>
      <c r="C311" s="13">
        <v>316</v>
      </c>
    </row>
    <row r="312" spans="2:3" x14ac:dyDescent="0.25">
      <c r="B312" s="13">
        <v>86.4</v>
      </c>
      <c r="C312" s="13">
        <v>326</v>
      </c>
    </row>
    <row r="313" spans="2:3" x14ac:dyDescent="0.25">
      <c r="B313" s="13">
        <v>86.5</v>
      </c>
      <c r="C313" s="13">
        <v>361</v>
      </c>
    </row>
    <row r="314" spans="2:3" x14ac:dyDescent="0.25">
      <c r="B314" s="13">
        <v>86.6</v>
      </c>
      <c r="C314" s="13">
        <v>255.83333333333334</v>
      </c>
    </row>
    <row r="315" spans="2:3" x14ac:dyDescent="0.25">
      <c r="B315" s="13">
        <v>86.7</v>
      </c>
      <c r="C315" s="13">
        <v>369</v>
      </c>
    </row>
    <row r="316" spans="2:3" x14ac:dyDescent="0.25">
      <c r="B316" s="13">
        <v>86.8</v>
      </c>
      <c r="C316" s="13">
        <v>313.33333333333331</v>
      </c>
    </row>
    <row r="317" spans="2:3" x14ac:dyDescent="0.25">
      <c r="B317" s="13">
        <v>86.9</v>
      </c>
      <c r="C317" s="13">
        <v>265.5</v>
      </c>
    </row>
    <row r="318" spans="2:3" x14ac:dyDescent="0.25">
      <c r="B318" s="13">
        <v>87</v>
      </c>
      <c r="C318" s="13">
        <v>305</v>
      </c>
    </row>
    <row r="319" spans="2:3" x14ac:dyDescent="0.25">
      <c r="B319" s="13">
        <v>87.1</v>
      </c>
      <c r="C319" s="13">
        <v>234</v>
      </c>
    </row>
    <row r="320" spans="2:3" x14ac:dyDescent="0.25">
      <c r="B320" s="13">
        <v>87.2</v>
      </c>
      <c r="C320" s="13">
        <v>384</v>
      </c>
    </row>
    <row r="321" spans="2:3" x14ac:dyDescent="0.25">
      <c r="B321" s="13">
        <v>87.3</v>
      </c>
      <c r="C321" s="13">
        <v>201.5</v>
      </c>
    </row>
    <row r="322" spans="2:3" x14ac:dyDescent="0.25">
      <c r="B322" s="13">
        <v>87.4</v>
      </c>
      <c r="C322" s="13">
        <v>256.75</v>
      </c>
    </row>
    <row r="323" spans="2:3" x14ac:dyDescent="0.25">
      <c r="B323" s="13">
        <v>87.6</v>
      </c>
      <c r="C323" s="13">
        <v>381</v>
      </c>
    </row>
    <row r="324" spans="2:3" x14ac:dyDescent="0.25">
      <c r="B324" s="13">
        <v>87.7</v>
      </c>
      <c r="C324" s="13">
        <v>232</v>
      </c>
    </row>
    <row r="325" spans="2:3" x14ac:dyDescent="0.25">
      <c r="B325" s="13">
        <v>87.8</v>
      </c>
      <c r="C325" s="13">
        <v>308.28571428571428</v>
      </c>
    </row>
    <row r="326" spans="2:3" x14ac:dyDescent="0.25">
      <c r="B326" s="13">
        <v>87.9</v>
      </c>
      <c r="C326" s="13">
        <v>194.5</v>
      </c>
    </row>
    <row r="327" spans="2:3" x14ac:dyDescent="0.25">
      <c r="B327" s="13">
        <v>88</v>
      </c>
      <c r="C327" s="13">
        <v>254</v>
      </c>
    </row>
    <row r="328" spans="2:3" x14ac:dyDescent="0.25">
      <c r="B328" s="13">
        <v>88.1</v>
      </c>
      <c r="C328" s="13">
        <v>295</v>
      </c>
    </row>
    <row r="329" spans="2:3" x14ac:dyDescent="0.25">
      <c r="B329" s="13">
        <v>88.2</v>
      </c>
      <c r="C329" s="13">
        <v>267.16666666666669</v>
      </c>
    </row>
    <row r="330" spans="2:3" x14ac:dyDescent="0.25">
      <c r="B330" s="13">
        <v>88.3</v>
      </c>
      <c r="C330" s="13">
        <v>300.33333333333331</v>
      </c>
    </row>
    <row r="331" spans="2:3" x14ac:dyDescent="0.25">
      <c r="B331" s="13">
        <v>88.4</v>
      </c>
      <c r="C331" s="13">
        <v>284.25</v>
      </c>
    </row>
    <row r="332" spans="2:3" x14ac:dyDescent="0.25">
      <c r="B332" s="13">
        <v>88.5</v>
      </c>
      <c r="C332" s="13">
        <v>326</v>
      </c>
    </row>
    <row r="333" spans="2:3" x14ac:dyDescent="0.25">
      <c r="B333" s="13">
        <v>88.6</v>
      </c>
      <c r="C333" s="13">
        <v>350.75</v>
      </c>
    </row>
    <row r="334" spans="2:3" x14ac:dyDescent="0.25">
      <c r="B334" s="13">
        <v>88.7</v>
      </c>
      <c r="C334" s="13">
        <v>335</v>
      </c>
    </row>
    <row r="335" spans="2:3" x14ac:dyDescent="0.25">
      <c r="B335" s="13">
        <v>88.8</v>
      </c>
      <c r="C335" s="13">
        <v>303.28571428571428</v>
      </c>
    </row>
    <row r="336" spans="2:3" x14ac:dyDescent="0.25">
      <c r="B336" s="13">
        <v>88.9</v>
      </c>
      <c r="C336" s="13">
        <v>257.60000000000002</v>
      </c>
    </row>
    <row r="337" spans="2:3" x14ac:dyDescent="0.25">
      <c r="B337" s="13">
        <v>89</v>
      </c>
      <c r="C337" s="13">
        <v>301.5</v>
      </c>
    </row>
    <row r="338" spans="2:3" x14ac:dyDescent="0.25">
      <c r="B338" s="13">
        <v>89.1</v>
      </c>
      <c r="C338" s="13">
        <v>255</v>
      </c>
    </row>
    <row r="339" spans="2:3" x14ac:dyDescent="0.25">
      <c r="B339" s="13">
        <v>89.2</v>
      </c>
      <c r="C339" s="13">
        <v>369</v>
      </c>
    </row>
    <row r="340" spans="2:3" x14ac:dyDescent="0.25">
      <c r="B340" s="13">
        <v>89.3</v>
      </c>
      <c r="C340" s="13">
        <v>331.5</v>
      </c>
    </row>
    <row r="341" spans="2:3" x14ac:dyDescent="0.25">
      <c r="B341" s="13">
        <v>89.4</v>
      </c>
      <c r="C341" s="13">
        <v>401</v>
      </c>
    </row>
    <row r="342" spans="2:3" x14ac:dyDescent="0.25">
      <c r="B342" s="13">
        <v>89.5</v>
      </c>
      <c r="C342" s="13">
        <v>295</v>
      </c>
    </row>
    <row r="343" spans="2:3" x14ac:dyDescent="0.25">
      <c r="B343" s="13">
        <v>89.6</v>
      </c>
      <c r="C343" s="13">
        <v>335.5</v>
      </c>
    </row>
    <row r="344" spans="2:3" x14ac:dyDescent="0.25">
      <c r="B344" s="13">
        <v>89.7</v>
      </c>
      <c r="C344" s="13">
        <v>252.6</v>
      </c>
    </row>
    <row r="345" spans="2:3" x14ac:dyDescent="0.25">
      <c r="B345" s="13">
        <v>89.8</v>
      </c>
      <c r="C345" s="13">
        <v>387</v>
      </c>
    </row>
    <row r="346" spans="2:3" x14ac:dyDescent="0.25">
      <c r="B346" s="13">
        <v>89.9</v>
      </c>
      <c r="C346" s="13">
        <v>369</v>
      </c>
    </row>
    <row r="347" spans="2:3" x14ac:dyDescent="0.25">
      <c r="B347" s="13">
        <v>90</v>
      </c>
      <c r="C347" s="13">
        <v>378</v>
      </c>
    </row>
    <row r="348" spans="2:3" x14ac:dyDescent="0.25">
      <c r="B348" s="13">
        <v>90.1</v>
      </c>
      <c r="C348" s="13">
        <v>283.5</v>
      </c>
    </row>
    <row r="349" spans="2:3" x14ac:dyDescent="0.25">
      <c r="B349" s="13">
        <v>90.2</v>
      </c>
      <c r="C349" s="13">
        <v>263.25</v>
      </c>
    </row>
    <row r="350" spans="2:3" x14ac:dyDescent="0.25">
      <c r="B350" s="13">
        <v>90.3</v>
      </c>
      <c r="C350" s="13">
        <v>488</v>
      </c>
    </row>
    <row r="351" spans="2:3" x14ac:dyDescent="0.25">
      <c r="B351" s="13">
        <v>90.4</v>
      </c>
      <c r="C351" s="13">
        <v>312.33333333333331</v>
      </c>
    </row>
    <row r="352" spans="2:3" x14ac:dyDescent="0.25">
      <c r="B352" s="13">
        <v>90.5</v>
      </c>
      <c r="C352" s="13">
        <v>380.75</v>
      </c>
    </row>
    <row r="353" spans="2:3" x14ac:dyDescent="0.25">
      <c r="B353" s="13">
        <v>90.6</v>
      </c>
      <c r="C353" s="13">
        <v>287</v>
      </c>
    </row>
    <row r="354" spans="2:3" x14ac:dyDescent="0.25">
      <c r="B354" s="13">
        <v>90.7</v>
      </c>
      <c r="C354" s="13">
        <v>377.25</v>
      </c>
    </row>
    <row r="355" spans="2:3" x14ac:dyDescent="0.25">
      <c r="B355" s="13">
        <v>90.8</v>
      </c>
      <c r="C355" s="13">
        <v>283</v>
      </c>
    </row>
    <row r="356" spans="2:3" x14ac:dyDescent="0.25">
      <c r="B356" s="13">
        <v>91.1</v>
      </c>
      <c r="C356" s="13">
        <v>348</v>
      </c>
    </row>
    <row r="357" spans="2:3" x14ac:dyDescent="0.25">
      <c r="B357" s="13">
        <v>91.2</v>
      </c>
      <c r="C357" s="13">
        <v>338.25</v>
      </c>
    </row>
    <row r="358" spans="2:3" x14ac:dyDescent="0.25">
      <c r="B358" s="13">
        <v>91.3</v>
      </c>
      <c r="C358" s="13">
        <v>444</v>
      </c>
    </row>
    <row r="359" spans="2:3" x14ac:dyDescent="0.25">
      <c r="B359" s="13">
        <v>91.4</v>
      </c>
      <c r="C359" s="13">
        <v>286</v>
      </c>
    </row>
    <row r="360" spans="2:3" x14ac:dyDescent="0.25">
      <c r="B360" s="13">
        <v>91.5</v>
      </c>
      <c r="C360" s="13">
        <v>319.28571428571428</v>
      </c>
    </row>
    <row r="361" spans="2:3" x14ac:dyDescent="0.25">
      <c r="B361" s="13">
        <v>91.6</v>
      </c>
      <c r="C361" s="13">
        <v>341</v>
      </c>
    </row>
    <row r="362" spans="2:3" x14ac:dyDescent="0.25">
      <c r="B362" s="13">
        <v>91.7</v>
      </c>
      <c r="C362" s="13">
        <v>300</v>
      </c>
    </row>
    <row r="363" spans="2:3" x14ac:dyDescent="0.25">
      <c r="B363" s="13">
        <v>91.8</v>
      </c>
      <c r="C363" s="13">
        <v>277</v>
      </c>
    </row>
    <row r="364" spans="2:3" x14ac:dyDescent="0.25">
      <c r="B364" s="13">
        <v>91.9</v>
      </c>
      <c r="C364" s="13">
        <v>312.5</v>
      </c>
    </row>
    <row r="365" spans="2:3" x14ac:dyDescent="0.25">
      <c r="B365" s="13">
        <v>92</v>
      </c>
      <c r="C365" s="13">
        <v>345</v>
      </c>
    </row>
    <row r="366" spans="2:3" x14ac:dyDescent="0.25">
      <c r="B366" s="13">
        <v>92.1</v>
      </c>
      <c r="C366" s="13">
        <v>295.66666666666669</v>
      </c>
    </row>
    <row r="367" spans="2:3" x14ac:dyDescent="0.25">
      <c r="B367" s="13">
        <v>92.2</v>
      </c>
      <c r="C367" s="13">
        <v>279.2</v>
      </c>
    </row>
    <row r="368" spans="2:3" x14ac:dyDescent="0.25">
      <c r="B368" s="13">
        <v>92.3</v>
      </c>
      <c r="C368" s="13">
        <v>369.25</v>
      </c>
    </row>
    <row r="369" spans="2:3" x14ac:dyDescent="0.25">
      <c r="B369" s="13">
        <v>92.4</v>
      </c>
      <c r="C369" s="13">
        <v>307</v>
      </c>
    </row>
    <row r="370" spans="2:3" x14ac:dyDescent="0.25">
      <c r="B370" s="13">
        <v>92.5</v>
      </c>
      <c r="C370" s="13">
        <v>272</v>
      </c>
    </row>
    <row r="371" spans="2:3" x14ac:dyDescent="0.25">
      <c r="B371" s="13">
        <v>92.6</v>
      </c>
      <c r="C371" s="13">
        <v>327</v>
      </c>
    </row>
    <row r="372" spans="2:3" x14ac:dyDescent="0.25">
      <c r="B372" s="13">
        <v>92.7</v>
      </c>
      <c r="C372" s="13">
        <v>488</v>
      </c>
    </row>
    <row r="373" spans="2:3" x14ac:dyDescent="0.25">
      <c r="B373" s="13">
        <v>92.8</v>
      </c>
      <c r="C373" s="13">
        <v>320.5</v>
      </c>
    </row>
    <row r="374" spans="2:3" x14ac:dyDescent="0.25">
      <c r="B374" s="13">
        <v>92.9</v>
      </c>
      <c r="C374" s="13">
        <v>277</v>
      </c>
    </row>
    <row r="375" spans="2:3" x14ac:dyDescent="0.25">
      <c r="B375" s="13">
        <v>93</v>
      </c>
      <c r="C375" s="13">
        <v>251</v>
      </c>
    </row>
    <row r="376" spans="2:3" x14ac:dyDescent="0.25">
      <c r="B376" s="13">
        <v>93.1</v>
      </c>
      <c r="C376" s="13">
        <v>357</v>
      </c>
    </row>
    <row r="377" spans="2:3" x14ac:dyDescent="0.25">
      <c r="B377" s="13">
        <v>93.2</v>
      </c>
      <c r="C377" s="13">
        <v>323.33333333333331</v>
      </c>
    </row>
    <row r="378" spans="2:3" x14ac:dyDescent="0.25">
      <c r="B378" s="13">
        <v>93.3</v>
      </c>
      <c r="C378" s="13">
        <v>361.33333333333331</v>
      </c>
    </row>
    <row r="379" spans="2:3" x14ac:dyDescent="0.25">
      <c r="B379" s="13">
        <v>93.4</v>
      </c>
      <c r="C379" s="13">
        <v>358</v>
      </c>
    </row>
    <row r="380" spans="2:3" x14ac:dyDescent="0.25">
      <c r="B380" s="13">
        <v>93.5</v>
      </c>
      <c r="C380" s="13">
        <v>253</v>
      </c>
    </row>
    <row r="381" spans="2:3" x14ac:dyDescent="0.25">
      <c r="B381" s="13">
        <v>93.6</v>
      </c>
      <c r="C381" s="13">
        <v>309</v>
      </c>
    </row>
    <row r="382" spans="2:3" x14ac:dyDescent="0.25">
      <c r="B382" s="13">
        <v>93.7</v>
      </c>
      <c r="C382" s="13">
        <v>429</v>
      </c>
    </row>
    <row r="383" spans="2:3" x14ac:dyDescent="0.25">
      <c r="B383" s="13">
        <v>93.8</v>
      </c>
      <c r="C383" s="13">
        <v>430.5</v>
      </c>
    </row>
    <row r="384" spans="2:3" x14ac:dyDescent="0.25">
      <c r="B384" s="13">
        <v>93.9</v>
      </c>
      <c r="C384" s="13">
        <v>286</v>
      </c>
    </row>
    <row r="385" spans="2:3" x14ac:dyDescent="0.25">
      <c r="B385" s="13">
        <v>94</v>
      </c>
      <c r="C385" s="13">
        <v>377.33333333333331</v>
      </c>
    </row>
    <row r="386" spans="2:3" x14ac:dyDescent="0.25">
      <c r="B386" s="13">
        <v>94.1</v>
      </c>
      <c r="C386" s="13">
        <v>262</v>
      </c>
    </row>
    <row r="387" spans="2:3" x14ac:dyDescent="0.25">
      <c r="B387" s="13">
        <v>94.2</v>
      </c>
      <c r="C387" s="13">
        <v>399</v>
      </c>
    </row>
    <row r="388" spans="2:3" x14ac:dyDescent="0.25">
      <c r="B388" s="13">
        <v>94.3</v>
      </c>
      <c r="C388" s="13">
        <v>295.75</v>
      </c>
    </row>
    <row r="389" spans="2:3" x14ac:dyDescent="0.25">
      <c r="B389" s="13">
        <v>94.4</v>
      </c>
      <c r="C389" s="13">
        <v>472</v>
      </c>
    </row>
    <row r="390" spans="2:3" x14ac:dyDescent="0.25">
      <c r="B390" s="13">
        <v>94.5</v>
      </c>
      <c r="C390" s="13">
        <v>265</v>
      </c>
    </row>
    <row r="391" spans="2:3" x14ac:dyDescent="0.25">
      <c r="B391" s="13">
        <v>94.6</v>
      </c>
      <c r="C391" s="13">
        <v>314</v>
      </c>
    </row>
    <row r="392" spans="2:3" x14ac:dyDescent="0.25">
      <c r="B392" s="13">
        <v>94.7</v>
      </c>
      <c r="C392" s="13">
        <v>286</v>
      </c>
    </row>
    <row r="393" spans="2:3" x14ac:dyDescent="0.25">
      <c r="B393" s="13">
        <v>94.8</v>
      </c>
      <c r="C393" s="13">
        <v>305.8</v>
      </c>
    </row>
    <row r="394" spans="2:3" x14ac:dyDescent="0.25">
      <c r="B394" s="13">
        <v>94.9</v>
      </c>
      <c r="C394" s="13">
        <v>462</v>
      </c>
    </row>
    <row r="395" spans="2:3" x14ac:dyDescent="0.25">
      <c r="B395" s="13">
        <v>95</v>
      </c>
      <c r="C395" s="13">
        <v>374.66666666666669</v>
      </c>
    </row>
    <row r="396" spans="2:3" x14ac:dyDescent="0.25">
      <c r="B396" s="13">
        <v>95.1</v>
      </c>
      <c r="C396" s="13">
        <v>293.5</v>
      </c>
    </row>
    <row r="397" spans="2:3" x14ac:dyDescent="0.25">
      <c r="B397" s="13">
        <v>95.2</v>
      </c>
      <c r="C397" s="13">
        <v>305</v>
      </c>
    </row>
    <row r="398" spans="2:3" x14ac:dyDescent="0.25">
      <c r="B398" s="13">
        <v>95.3</v>
      </c>
      <c r="C398" s="13">
        <v>267.66666666666669</v>
      </c>
    </row>
    <row r="399" spans="2:3" x14ac:dyDescent="0.25">
      <c r="B399" s="13">
        <v>95.4</v>
      </c>
      <c r="C399" s="13">
        <v>281.5</v>
      </c>
    </row>
    <row r="400" spans="2:3" x14ac:dyDescent="0.25">
      <c r="B400" s="13">
        <v>95.5</v>
      </c>
      <c r="C400" s="13">
        <v>272</v>
      </c>
    </row>
    <row r="401" spans="2:3" x14ac:dyDescent="0.25">
      <c r="B401" s="13">
        <v>95.6</v>
      </c>
      <c r="C401" s="13">
        <v>281.5</v>
      </c>
    </row>
    <row r="402" spans="2:3" x14ac:dyDescent="0.25">
      <c r="B402" s="13">
        <v>95.7</v>
      </c>
      <c r="C402" s="13">
        <v>264</v>
      </c>
    </row>
    <row r="403" spans="2:3" x14ac:dyDescent="0.25">
      <c r="B403" s="13">
        <v>95.8</v>
      </c>
      <c r="C403" s="13">
        <v>399.5</v>
      </c>
    </row>
    <row r="404" spans="2:3" x14ac:dyDescent="0.25">
      <c r="B404" s="13">
        <v>95.9</v>
      </c>
      <c r="C404" s="13">
        <v>314</v>
      </c>
    </row>
    <row r="405" spans="2:3" x14ac:dyDescent="0.25">
      <c r="B405" s="13">
        <v>96.1</v>
      </c>
      <c r="C405" s="13">
        <v>472</v>
      </c>
    </row>
    <row r="406" spans="2:3" x14ac:dyDescent="0.25">
      <c r="B406" s="13">
        <v>96.2</v>
      </c>
      <c r="C406" s="13">
        <v>462</v>
      </c>
    </row>
    <row r="407" spans="2:3" x14ac:dyDescent="0.25">
      <c r="B407" s="13">
        <v>96.4</v>
      </c>
      <c r="C407" s="13">
        <v>393.5</v>
      </c>
    </row>
    <row r="408" spans="2:3" x14ac:dyDescent="0.25">
      <c r="B408" s="13">
        <v>96.5</v>
      </c>
      <c r="C408" s="13">
        <v>425.5</v>
      </c>
    </row>
    <row r="409" spans="2:3" x14ac:dyDescent="0.25">
      <c r="B409" s="13">
        <v>96.7</v>
      </c>
      <c r="C409" s="13">
        <v>399</v>
      </c>
    </row>
    <row r="410" spans="2:3" x14ac:dyDescent="0.25">
      <c r="B410" s="13">
        <v>96.8</v>
      </c>
      <c r="C410" s="13">
        <v>353</v>
      </c>
    </row>
    <row r="411" spans="2:3" x14ac:dyDescent="0.25">
      <c r="B411" s="13">
        <v>96.9</v>
      </c>
      <c r="C411" s="13">
        <v>264</v>
      </c>
    </row>
    <row r="412" spans="2:3" x14ac:dyDescent="0.25">
      <c r="B412" s="13">
        <v>97</v>
      </c>
      <c r="C412" s="13">
        <v>383</v>
      </c>
    </row>
    <row r="413" spans="2:3" x14ac:dyDescent="0.25">
      <c r="B413" s="13">
        <v>97.2</v>
      </c>
      <c r="C413" s="13">
        <v>330</v>
      </c>
    </row>
    <row r="414" spans="2:3" x14ac:dyDescent="0.25">
      <c r="B414" s="13">
        <v>97.4</v>
      </c>
      <c r="C414" s="13">
        <v>396</v>
      </c>
    </row>
    <row r="415" spans="2:3" x14ac:dyDescent="0.25">
      <c r="B415" s="13">
        <v>97.5</v>
      </c>
      <c r="C415" s="13">
        <v>314</v>
      </c>
    </row>
    <row r="416" spans="2:3" x14ac:dyDescent="0.25">
      <c r="B416" s="13">
        <v>97.6</v>
      </c>
      <c r="C416" s="13">
        <v>364.33333333333331</v>
      </c>
    </row>
    <row r="417" spans="2:3" x14ac:dyDescent="0.25">
      <c r="B417" s="13">
        <v>97.9</v>
      </c>
      <c r="C417" s="13">
        <v>412</v>
      </c>
    </row>
    <row r="418" spans="2:3" x14ac:dyDescent="0.25">
      <c r="B418" s="13">
        <v>98</v>
      </c>
      <c r="C418" s="13">
        <v>262</v>
      </c>
    </row>
    <row r="419" spans="2:3" x14ac:dyDescent="0.25">
      <c r="B419" s="13">
        <v>98.1</v>
      </c>
      <c r="C419" s="13">
        <v>291</v>
      </c>
    </row>
    <row r="420" spans="2:3" x14ac:dyDescent="0.25">
      <c r="B420" s="13">
        <v>98.4</v>
      </c>
      <c r="C420" s="13">
        <v>254</v>
      </c>
    </row>
    <row r="421" spans="2:3" x14ac:dyDescent="0.25">
      <c r="B421" s="13">
        <v>98.5</v>
      </c>
      <c r="C421" s="13">
        <v>299.5</v>
      </c>
    </row>
    <row r="422" spans="2:3" x14ac:dyDescent="0.25">
      <c r="B422" s="13">
        <v>98.6</v>
      </c>
      <c r="C422" s="13">
        <v>210</v>
      </c>
    </row>
    <row r="423" spans="2:3" x14ac:dyDescent="0.25">
      <c r="B423" s="13">
        <v>98.7</v>
      </c>
      <c r="C423" s="13">
        <v>331.5</v>
      </c>
    </row>
    <row r="424" spans="2:3" x14ac:dyDescent="0.25">
      <c r="B424" s="13">
        <v>98.9</v>
      </c>
      <c r="C424" s="13">
        <v>314</v>
      </c>
    </row>
    <row r="425" spans="2:3" x14ac:dyDescent="0.25">
      <c r="B425" s="13">
        <v>99.1</v>
      </c>
      <c r="C425" s="13">
        <v>374.2</v>
      </c>
    </row>
    <row r="426" spans="2:3" x14ac:dyDescent="0.25">
      <c r="B426" s="13">
        <v>99.3</v>
      </c>
      <c r="C426" s="13">
        <v>378</v>
      </c>
    </row>
    <row r="427" spans="2:3" x14ac:dyDescent="0.25">
      <c r="B427" s="13">
        <v>99.4</v>
      </c>
      <c r="C427" s="13">
        <v>286</v>
      </c>
    </row>
    <row r="428" spans="2:3" x14ac:dyDescent="0.25">
      <c r="B428" s="13">
        <v>99.5</v>
      </c>
      <c r="C428" s="13">
        <v>250</v>
      </c>
    </row>
    <row r="429" spans="2:3" x14ac:dyDescent="0.25">
      <c r="B429" s="13">
        <v>99.6</v>
      </c>
      <c r="C429" s="13">
        <v>483.33333333333331</v>
      </c>
    </row>
    <row r="430" spans="2:3" x14ac:dyDescent="0.25">
      <c r="B430" s="13">
        <v>99.7</v>
      </c>
      <c r="C430" s="13">
        <v>417</v>
      </c>
    </row>
    <row r="431" spans="2:3" x14ac:dyDescent="0.25">
      <c r="B431" s="13">
        <v>99.9</v>
      </c>
      <c r="C431" s="13">
        <v>314</v>
      </c>
    </row>
    <row r="432" spans="2:3" x14ac:dyDescent="0.25">
      <c r="B432" s="13">
        <v>100</v>
      </c>
      <c r="C432" s="13">
        <v>365</v>
      </c>
    </row>
    <row r="433" spans="2:3" x14ac:dyDescent="0.25">
      <c r="B433" s="13">
        <v>100.8</v>
      </c>
      <c r="C433" s="13">
        <v>306.5</v>
      </c>
    </row>
    <row r="434" spans="2:3" x14ac:dyDescent="0.25">
      <c r="B434" s="13">
        <v>101</v>
      </c>
      <c r="C434" s="13">
        <v>279</v>
      </c>
    </row>
    <row r="435" spans="2:3" x14ac:dyDescent="0.25">
      <c r="B435" s="13">
        <v>101.1</v>
      </c>
      <c r="C435" s="13">
        <v>327</v>
      </c>
    </row>
    <row r="436" spans="2:3" x14ac:dyDescent="0.25">
      <c r="B436" s="13">
        <v>101.4</v>
      </c>
      <c r="C436" s="13">
        <v>314</v>
      </c>
    </row>
    <row r="437" spans="2:3" x14ac:dyDescent="0.25">
      <c r="B437" s="13">
        <v>101.6</v>
      </c>
      <c r="C437" s="13">
        <v>417</v>
      </c>
    </row>
    <row r="438" spans="2:3" x14ac:dyDescent="0.25">
      <c r="B438" s="13">
        <v>101.9</v>
      </c>
      <c r="C438" s="13">
        <v>488</v>
      </c>
    </row>
    <row r="439" spans="2:3" x14ac:dyDescent="0.25">
      <c r="B439" s="13">
        <v>102.3</v>
      </c>
      <c r="C439" s="13">
        <v>471</v>
      </c>
    </row>
    <row r="440" spans="2:3" x14ac:dyDescent="0.25">
      <c r="B440" s="13">
        <v>103.3</v>
      </c>
      <c r="C440" s="13">
        <v>279</v>
      </c>
    </row>
    <row r="441" spans="2:3" x14ac:dyDescent="0.25">
      <c r="B441" s="13">
        <v>103.6</v>
      </c>
      <c r="C441" s="13">
        <v>365</v>
      </c>
    </row>
    <row r="442" spans="2:3" x14ac:dyDescent="0.25">
      <c r="B442" s="13">
        <v>105.3</v>
      </c>
      <c r="C442" s="13">
        <v>365</v>
      </c>
    </row>
    <row r="443" spans="2:3" x14ac:dyDescent="0.25">
      <c r="B443" s="13">
        <v>105.6</v>
      </c>
      <c r="C443" s="13">
        <v>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E7ED-9E61-4AEF-8D16-A7A0B1A983E9}">
  <dimension ref="B1:D23"/>
  <sheetViews>
    <sheetView tabSelected="1" topLeftCell="A5" zoomScale="120" zoomScaleNormal="120" workbookViewId="0"/>
  </sheetViews>
  <sheetFormatPr defaultRowHeight="15" x14ac:dyDescent="0.25"/>
  <cols>
    <col min="1" max="1" width="3.140625" customWidth="1"/>
    <col min="2" max="2" width="18.85546875" customWidth="1"/>
    <col min="3" max="3" width="13.7109375" customWidth="1"/>
    <col min="4" max="4" width="44" customWidth="1"/>
  </cols>
  <sheetData>
    <row r="1" spans="2:4" ht="34.5" x14ac:dyDescent="0.45">
      <c r="B1" s="8" t="s">
        <v>17</v>
      </c>
    </row>
    <row r="2" spans="2:4" ht="18.75" x14ac:dyDescent="0.3">
      <c r="B2" s="9" t="s">
        <v>16</v>
      </c>
    </row>
    <row r="4" spans="2:4" x14ac:dyDescent="0.25">
      <c r="B4" s="2" t="s">
        <v>24</v>
      </c>
    </row>
    <row r="5" spans="2:4" x14ac:dyDescent="0.25">
      <c r="B5" s="4" t="s">
        <v>25</v>
      </c>
    </row>
    <row r="6" spans="2:4" x14ac:dyDescent="0.25">
      <c r="B6" s="10" t="s">
        <v>5</v>
      </c>
      <c r="C6" s="10" t="s">
        <v>6</v>
      </c>
      <c r="D6" s="10" t="s">
        <v>4</v>
      </c>
    </row>
    <row r="7" spans="2:4" x14ac:dyDescent="0.25">
      <c r="B7" s="11" t="s">
        <v>12</v>
      </c>
      <c r="C7" s="3" t="s">
        <v>8</v>
      </c>
      <c r="D7" s="1" t="s">
        <v>13</v>
      </c>
    </row>
    <row r="8" spans="2:4" x14ac:dyDescent="0.25">
      <c r="B8" s="11" t="s">
        <v>1</v>
      </c>
      <c r="C8" s="3" t="s">
        <v>8</v>
      </c>
      <c r="D8" s="1" t="s">
        <v>26</v>
      </c>
    </row>
    <row r="9" spans="2:4" x14ac:dyDescent="0.25">
      <c r="B9" s="11" t="s">
        <v>3</v>
      </c>
      <c r="C9" s="3" t="s">
        <v>8</v>
      </c>
      <c r="D9" s="1" t="s">
        <v>27</v>
      </c>
    </row>
    <row r="10" spans="2:4" x14ac:dyDescent="0.25">
      <c r="B10" s="11" t="s">
        <v>22</v>
      </c>
      <c r="C10" s="3" t="s">
        <v>8</v>
      </c>
      <c r="D10" s="1" t="s">
        <v>28</v>
      </c>
    </row>
    <row r="11" spans="2:4" x14ac:dyDescent="0.25">
      <c r="B11" s="11" t="s">
        <v>29</v>
      </c>
      <c r="C11" s="3" t="s">
        <v>8</v>
      </c>
      <c r="D11" s="1" t="s">
        <v>30</v>
      </c>
    </row>
    <row r="12" spans="2:4" ht="30" x14ac:dyDescent="0.25">
      <c r="B12" s="11" t="s">
        <v>31</v>
      </c>
      <c r="C12" s="3" t="s">
        <v>7</v>
      </c>
      <c r="D12" s="1" t="s">
        <v>32</v>
      </c>
    </row>
    <row r="13" spans="2:4" ht="30" x14ac:dyDescent="0.25">
      <c r="B13" s="11" t="s">
        <v>33</v>
      </c>
      <c r="C13" s="3" t="s">
        <v>8</v>
      </c>
      <c r="D13" s="1" t="s">
        <v>34</v>
      </c>
    </row>
    <row r="14" spans="2:4" ht="30" x14ac:dyDescent="0.25">
      <c r="B14" s="11" t="s">
        <v>23</v>
      </c>
      <c r="C14" s="3" t="s">
        <v>7</v>
      </c>
      <c r="D14" s="1" t="s">
        <v>35</v>
      </c>
    </row>
    <row r="16" spans="2:4" x14ac:dyDescent="0.25">
      <c r="B16" s="4" t="s">
        <v>14</v>
      </c>
    </row>
    <row r="17" spans="2:4" x14ac:dyDescent="0.25">
      <c r="B17" s="10" t="s">
        <v>5</v>
      </c>
      <c r="C17" s="10" t="s">
        <v>6</v>
      </c>
      <c r="D17" s="10" t="s">
        <v>4</v>
      </c>
    </row>
    <row r="18" spans="2:4" x14ac:dyDescent="0.25">
      <c r="B18" s="11" t="s">
        <v>12</v>
      </c>
      <c r="C18" s="3" t="s">
        <v>8</v>
      </c>
      <c r="D18" s="1" t="s">
        <v>13</v>
      </c>
    </row>
    <row r="19" spans="2:4" x14ac:dyDescent="0.25">
      <c r="B19" s="11" t="s">
        <v>15</v>
      </c>
      <c r="C19" s="3" t="s">
        <v>8</v>
      </c>
      <c r="D19" s="1" t="s">
        <v>36</v>
      </c>
    </row>
    <row r="20" spans="2:4" x14ac:dyDescent="0.25">
      <c r="B20" s="11" t="s">
        <v>9</v>
      </c>
      <c r="C20" s="3" t="s">
        <v>8</v>
      </c>
      <c r="D20" s="1" t="s">
        <v>37</v>
      </c>
    </row>
    <row r="21" spans="2:4" x14ac:dyDescent="0.25">
      <c r="B21" s="11" t="s">
        <v>38</v>
      </c>
      <c r="C21" s="3" t="s">
        <v>8</v>
      </c>
      <c r="D21" s="1" t="s">
        <v>39</v>
      </c>
    </row>
    <row r="22" spans="2:4" x14ac:dyDescent="0.25">
      <c r="B22" s="11" t="s">
        <v>10</v>
      </c>
      <c r="C22" s="3" t="s">
        <v>8</v>
      </c>
      <c r="D22" s="1" t="s">
        <v>40</v>
      </c>
    </row>
    <row r="23" spans="2:4" x14ac:dyDescent="0.25">
      <c r="B23" s="11" t="s">
        <v>11</v>
      </c>
      <c r="C23" s="3" t="s">
        <v>8</v>
      </c>
      <c r="D23" s="1"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F418BC5D-DF83-4F35-882F-28818D3C327B}">
  <ds:schemaRefs/>
</ds:datastoreItem>
</file>

<file path=customXml/itemProps2.xml><?xml version="1.0" encoding="utf-8"?>
<ds:datastoreItem xmlns:ds="http://schemas.openxmlformats.org/officeDocument/2006/customXml" ds:itemID="{19DF9DDA-745D-4CC9-9C5F-927A9B49737E}">
  <ds:schemaRefs/>
</ds:datastoreItem>
</file>

<file path=customXml/itemProps3.xml><?xml version="1.0" encoding="utf-8"?>
<ds:datastoreItem xmlns:ds="http://schemas.openxmlformats.org/officeDocument/2006/customXml" ds:itemID="{8E116729-E0ED-4E3C-A565-FBA8D6F33A7E}">
  <ds:schemaRefs/>
</ds:datastoreItem>
</file>

<file path=customXml/itemProps4.xml><?xml version="1.0" encoding="utf-8"?>
<ds:datastoreItem xmlns:ds="http://schemas.openxmlformats.org/officeDocument/2006/customXml" ds:itemID="{BDF174B4-0A6C-44C5-ACC7-AB9953BBE8F6}">
  <ds:schemaRefs/>
</ds:datastoreItem>
</file>

<file path=customXml/itemProps5.xml><?xml version="1.0" encoding="utf-8"?>
<ds:datastoreItem xmlns:ds="http://schemas.openxmlformats.org/officeDocument/2006/customXml" ds:itemID="{B90CDF9F-DF10-4614-AE30-44D2911EB5DA}">
  <ds:schemaRefs/>
</ds:datastoreItem>
</file>

<file path=customXml/itemProps6.xml><?xml version="1.0" encoding="utf-8"?>
<ds:datastoreItem xmlns:ds="http://schemas.openxmlformats.org/officeDocument/2006/customXml" ds:itemID="{DDEA0812-4A90-4F13-A274-E0834ACD6EA9}">
  <ds:schemaRefs/>
</ds:datastoreItem>
</file>

<file path=customXml/itemProps7.xml><?xml version="1.0" encoding="utf-8"?>
<ds:datastoreItem xmlns:ds="http://schemas.openxmlformats.org/officeDocument/2006/customXml" ds:itemID="{A96A31CB-920B-4072-8716-AC6FC823CE0F}">
  <ds:schemaRefs/>
</ds:datastoreItem>
</file>

<file path=customXml/itemProps8.xml><?xml version="1.0" encoding="utf-8"?>
<ds:datastoreItem xmlns:ds="http://schemas.openxmlformats.org/officeDocument/2006/customXml" ds:itemID="{A2A51A47-1353-4503-B704-2077CD6D9E7E}">
  <ds:schemaRefs/>
</ds:datastoreItem>
</file>

<file path=customXml/itemProps9.xml><?xml version="1.0" encoding="utf-8"?>
<ds:datastoreItem xmlns:ds="http://schemas.openxmlformats.org/officeDocument/2006/customXml" ds:itemID="{90365C79-A728-4723-BA5F-F03D53A08D93}">
  <ds:schemaRefs/>
</ds:datastoreItem>
</file>

<file path=customXml/itemProps10.xml><?xml version="1.0" encoding="utf-8"?>
<ds:datastoreItem xmlns:ds="http://schemas.openxmlformats.org/officeDocument/2006/customXml" ds:itemID="{9D26855B-7DB3-496D-AD0F-4D46AC086FCD}">
  <ds:schemaRefs/>
</ds:datastoreItem>
</file>

<file path=customXml/itemProps11.xml><?xml version="1.0" encoding="utf-8"?>
<ds:datastoreItem xmlns:ds="http://schemas.openxmlformats.org/officeDocument/2006/customXml" ds:itemID="{B7E10F4D-0C80-4B87-8637-7C5195BD98C4}">
  <ds:schemaRefs/>
</ds:datastoreItem>
</file>

<file path=customXml/itemProps12.xml><?xml version="1.0" encoding="utf-8"?>
<ds:datastoreItem xmlns:ds="http://schemas.openxmlformats.org/officeDocument/2006/customXml" ds:itemID="{CB51B4FF-DD44-4AFD-A99D-3D3EE77C0806}">
  <ds:schemaRefs/>
</ds:datastoreItem>
</file>

<file path=customXml/itemProps13.xml><?xml version="1.0" encoding="utf-8"?>
<ds:datastoreItem xmlns:ds="http://schemas.openxmlformats.org/officeDocument/2006/customXml" ds:itemID="{7F70A4F4-4DD8-463D-AF42-80E6FA2797F7}">
  <ds:schemaRefs/>
</ds:datastoreItem>
</file>

<file path=customXml/itemProps14.xml><?xml version="1.0" encoding="utf-8"?>
<ds:datastoreItem xmlns:ds="http://schemas.openxmlformats.org/officeDocument/2006/customXml" ds:itemID="{EA03EEC1-E3C1-4939-9C39-4107F1758EB4}">
  <ds:schemaRefs/>
</ds:datastoreItem>
</file>

<file path=customXml/itemProps15.xml><?xml version="1.0" encoding="utf-8"?>
<ds:datastoreItem xmlns:ds="http://schemas.openxmlformats.org/officeDocument/2006/customXml" ds:itemID="{7305F978-8FE7-4ED3-9CD1-032F93938456}">
  <ds:schemaRefs/>
</ds:datastoreItem>
</file>

<file path=customXml/itemProps16.xml><?xml version="1.0" encoding="utf-8"?>
<ds:datastoreItem xmlns:ds="http://schemas.openxmlformats.org/officeDocument/2006/customXml" ds:itemID="{74C02AFE-AB64-4167-A6CD-6CB1F4F965A1}">
  <ds:schemaRefs/>
</ds:datastoreItem>
</file>

<file path=customXml/itemProps17.xml><?xml version="1.0" encoding="utf-8"?>
<ds:datastoreItem xmlns:ds="http://schemas.openxmlformats.org/officeDocument/2006/customXml" ds:itemID="{4A542ADE-7218-4E6D-9990-F56CD720276D}">
  <ds:schemaRefs/>
</ds:datastoreItem>
</file>

<file path=customXml/itemProps18.xml><?xml version="1.0" encoding="utf-8"?>
<ds:datastoreItem xmlns:ds="http://schemas.openxmlformats.org/officeDocument/2006/customXml" ds:itemID="{F8A9C553-4859-4323-88CB-7DD9513E4F6A}">
  <ds:schemaRefs/>
</ds:datastoreItem>
</file>

<file path=customXml/itemProps19.xml><?xml version="1.0" encoding="utf-8"?>
<ds:datastoreItem xmlns:ds="http://schemas.openxmlformats.org/officeDocument/2006/customXml" ds:itemID="{15C82E80-B7F2-4453-AC93-BD089ACA8FD3}">
  <ds:schemaRefs/>
</ds:datastoreItem>
</file>

<file path=customXml/itemProps20.xml><?xml version="1.0" encoding="utf-8"?>
<ds:datastoreItem xmlns:ds="http://schemas.openxmlformats.org/officeDocument/2006/customXml" ds:itemID="{0A284C3E-A912-40A9-99B5-6D1D9C250E0B}">
  <ds:schemaRefs/>
</ds:datastoreItem>
</file>

<file path=customXml/itemProps21.xml><?xml version="1.0" encoding="utf-8"?>
<ds:datastoreItem xmlns:ds="http://schemas.openxmlformats.org/officeDocument/2006/customXml" ds:itemID="{C69FBE82-94AE-45BB-9BC1-64BD8A9FBBF7}">
  <ds:schemaRefs/>
</ds:datastoreItem>
</file>

<file path=customXml/itemProps22.xml><?xml version="1.0" encoding="utf-8"?>
<ds:datastoreItem xmlns:ds="http://schemas.openxmlformats.org/officeDocument/2006/customXml" ds:itemID="{74829059-0B4F-40DC-BA26-0DBD9E8C6C33}">
  <ds:schemaRefs/>
</ds:datastoreItem>
</file>

<file path=customXml/itemProps23.xml><?xml version="1.0" encoding="utf-8"?>
<ds:datastoreItem xmlns:ds="http://schemas.openxmlformats.org/officeDocument/2006/customXml" ds:itemID="{FC15C40B-88D6-4208-BC7A-CC4157EC7FD2}">
  <ds:schemaRefs/>
</ds:datastoreItem>
</file>

<file path=customXml/itemProps24.xml><?xml version="1.0" encoding="utf-8"?>
<ds:datastoreItem xmlns:ds="http://schemas.openxmlformats.org/officeDocument/2006/customXml" ds:itemID="{423D5530-B88C-461B-8BE2-71DECC4699BE}">
  <ds:schemaRefs/>
</ds:datastoreItem>
</file>

<file path=customXml/itemProps25.xml><?xml version="1.0" encoding="utf-8"?>
<ds:datastoreItem xmlns:ds="http://schemas.openxmlformats.org/officeDocument/2006/customXml" ds:itemID="{8394DC2B-F432-4374-B9BD-9ED9863FD859}">
  <ds:schemaRefs/>
</ds:datastoreItem>
</file>

<file path=customXml/itemProps26.xml><?xml version="1.0" encoding="utf-8"?>
<ds:datastoreItem xmlns:ds="http://schemas.openxmlformats.org/officeDocument/2006/customXml" ds:itemID="{5FE152AE-9A76-421B-B6A7-7C8DC32DA13E}">
  <ds:schemaRefs/>
</ds:datastoreItem>
</file>

<file path=customXml/itemProps27.xml><?xml version="1.0" encoding="utf-8"?>
<ds:datastoreItem xmlns:ds="http://schemas.openxmlformats.org/officeDocument/2006/customXml" ds:itemID="{D247D4B8-4BBB-4943-AD6B-411F736824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Documentation</vt:lpstr>
      <vt:lpstr>Sales Report</vt:lpstr>
      <vt:lpstr>Customer Calendar</vt:lpstr>
      <vt:lpstr>Rain Table</vt:lpstr>
      <vt:lpstr>Temperature Table</vt:lpstr>
      <vt:lpstr>Regression Analysis</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10, Case Problem 1</dc:title>
  <dc:creator>Your Name</dc:creator>
  <cp:lastModifiedBy>Na, Nuri</cp:lastModifiedBy>
  <dcterms:created xsi:type="dcterms:W3CDTF">2015-11-12T22:55:14Z</dcterms:created>
  <dcterms:modified xsi:type="dcterms:W3CDTF">2025-05-04T22:02:58Z</dcterms:modified>
</cp:coreProperties>
</file>